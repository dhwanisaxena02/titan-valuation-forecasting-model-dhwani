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defaultThemeVersion="166925"/>
  <mc:AlternateContent xmlns:mc="http://schemas.openxmlformats.org/markup-compatibility/2006">
    <mc:Choice Requires="x15">
      <x15ac:absPath xmlns:x15ac="http://schemas.microsoft.com/office/spreadsheetml/2010/11/ac" url="/Users/dhwanisaxena/Documents/1. JOB STRATEGY 2026/Financial Modeling/"/>
    </mc:Choice>
  </mc:AlternateContent>
  <xr:revisionPtr revIDLastSave="0" documentId="13_ncr:1_{5A079A93-E361-EC43-B844-FBA8CA81E586}" xr6:coauthVersionLast="47" xr6:coauthVersionMax="47" xr10:uidLastSave="{00000000-0000-0000-0000-000000000000}"/>
  <bookViews>
    <workbookView xWindow="0" yWindow="660" windowWidth="29400" windowHeight="16960" xr2:uid="{6D2F355F-998D-B142-A499-C9AA7FC08C95}"/>
  </bookViews>
  <sheets>
    <sheet name="Teaser" sheetId="25" r:id="rId1"/>
    <sheet name="Financials&gt;" sheetId="1" r:id="rId2"/>
    <sheet name="HistoricalFS" sheetId="2" r:id="rId3"/>
    <sheet name="Ratio Analysis" sheetId="8" r:id="rId4"/>
    <sheet name="Common Size Statement" sheetId="10" r:id="rId5"/>
    <sheet name="Dupont Analysis" sheetId="27" r:id="rId6"/>
    <sheet name="Segment Analysis" sheetId="30" r:id="rId7"/>
    <sheet name="Valuation&gt;" sheetId="11" r:id="rId8"/>
    <sheet name="WACC" sheetId="12" r:id="rId9"/>
    <sheet name="Intrinsic Growth" sheetId="17" r:id="rId10"/>
    <sheet name="P E Valuation" sheetId="29" r:id="rId11"/>
    <sheet name="Scenario Analysis" sheetId="32" r:id="rId12"/>
    <sheet name="DCF - Exit Multiple" sheetId="24" r:id="rId13"/>
    <sheet name="DCF - Perpetual Growth" sheetId="19" r:id="rId14"/>
    <sheet name="Relative Valuation&gt;" sheetId="20" r:id="rId15"/>
    <sheet name="Comps_Val" sheetId="21" r:id="rId16"/>
    <sheet name="Data&gt;" sheetId="3" r:id="rId17"/>
    <sheet name="Data Sheet" sheetId="6" r:id="rId18"/>
    <sheet name="cash flow data" sheetId="7" r:id="rId19"/>
    <sheet name="Segment Data" sheetId="31" r:id="rId20"/>
    <sheet name="Beta - regression" sheetId="14" r:id="rId21"/>
    <sheet name="Beta - comps" sheetId="15" r:id="rId22"/>
    <sheet name="Market Return" sheetId="16" r:id="rId23"/>
    <sheet name="Raw FS" sheetId="18" r:id="rId24"/>
    <sheet name="Comps_Data" sheetId="22" r:id="rId25"/>
    <sheet name="Hist Share Price" sheetId="26" r:id="rId26"/>
  </sheets>
  <definedNames>
    <definedName name="_xlnm._FilterDatabase" localSheetId="20" hidden="1">'Beta - regression'!$B$7:$D$7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B10" i="6" l="1"/>
  <c r="D6" i="25"/>
  <c r="D8" i="25"/>
  <c r="C48" i="25"/>
  <c r="C50" i="25"/>
  <c r="C49" i="25"/>
  <c r="C47" i="25"/>
  <c r="C46" i="25"/>
  <c r="E43" i="25"/>
  <c r="D43" i="25"/>
  <c r="C43" i="25"/>
  <c r="B43" i="25"/>
  <c r="E41" i="25"/>
  <c r="D41" i="25"/>
  <c r="C41" i="25"/>
  <c r="B41" i="25"/>
  <c r="E42" i="25"/>
  <c r="D42" i="25"/>
  <c r="C42" i="25"/>
  <c r="B42" i="25"/>
  <c r="E40" i="25"/>
  <c r="D40" i="25"/>
  <c r="C40" i="25"/>
  <c r="B40" i="25"/>
  <c r="E39" i="25"/>
  <c r="D39" i="25"/>
  <c r="C39" i="25"/>
  <c r="E38" i="25"/>
  <c r="D38" i="25"/>
  <c r="C38" i="25"/>
  <c r="D5" i="25"/>
  <c r="H30" i="32"/>
  <c r="N26" i="32"/>
  <c r="M26" i="32"/>
  <c r="L26" i="32"/>
  <c r="J26" i="32"/>
  <c r="I26" i="32"/>
  <c r="H26" i="32"/>
  <c r="F26" i="32"/>
  <c r="E26" i="32"/>
  <c r="D26" i="32"/>
  <c r="D28" i="32" s="1"/>
  <c r="J24" i="32"/>
  <c r="B26" i="32"/>
  <c r="L24" i="32"/>
  <c r="H24" i="32"/>
  <c r="D24" i="32"/>
  <c r="L23" i="32"/>
  <c r="L28" i="32" s="1"/>
  <c r="H23" i="32"/>
  <c r="D23" i="32"/>
  <c r="L21" i="32"/>
  <c r="H21" i="32"/>
  <c r="D21" i="32"/>
  <c r="L20" i="32"/>
  <c r="H20" i="32"/>
  <c r="D20" i="32"/>
  <c r="L18" i="32"/>
  <c r="H18" i="32"/>
  <c r="D18" i="32"/>
  <c r="L17" i="32"/>
  <c r="H17" i="32"/>
  <c r="D17" i="32"/>
  <c r="B12" i="32"/>
  <c r="F15" i="32"/>
  <c r="J15" i="32" s="1"/>
  <c r="N15" i="32" s="1"/>
  <c r="E15" i="32"/>
  <c r="I15" i="32" s="1"/>
  <c r="M15" i="32" s="1"/>
  <c r="D15" i="32"/>
  <c r="H15" i="32" s="1"/>
  <c r="L15" i="32" s="1"/>
  <c r="E10" i="32"/>
  <c r="C10" i="32"/>
  <c r="D9" i="32"/>
  <c r="E9" i="32" s="1"/>
  <c r="N30" i="32" s="1"/>
  <c r="D7" i="32"/>
  <c r="J21" i="32" s="1"/>
  <c r="D8" i="32"/>
  <c r="I24" i="32" s="1"/>
  <c r="D6" i="32"/>
  <c r="I18" i="32" s="1"/>
  <c r="H45" i="30"/>
  <c r="H44" i="30"/>
  <c r="H43" i="30"/>
  <c r="H42" i="30"/>
  <c r="H41" i="30"/>
  <c r="H40" i="30"/>
  <c r="H39" i="30"/>
  <c r="H38" i="30"/>
  <c r="H87" i="30"/>
  <c r="H85" i="30"/>
  <c r="H83" i="30"/>
  <c r="G88" i="30"/>
  <c r="F88" i="30"/>
  <c r="E88" i="30"/>
  <c r="D88" i="30"/>
  <c r="G86" i="30"/>
  <c r="F86" i="30"/>
  <c r="E86" i="30"/>
  <c r="D86" i="30"/>
  <c r="G84" i="30"/>
  <c r="F84" i="30"/>
  <c r="E84" i="30"/>
  <c r="D84" i="30"/>
  <c r="C85" i="30"/>
  <c r="D85" i="30"/>
  <c r="E85" i="30"/>
  <c r="F85" i="30"/>
  <c r="G85" i="30"/>
  <c r="C87" i="30"/>
  <c r="D87" i="30"/>
  <c r="E87" i="30"/>
  <c r="F87" i="30"/>
  <c r="G87" i="30"/>
  <c r="B87" i="30"/>
  <c r="B85" i="30"/>
  <c r="G32" i="31"/>
  <c r="F32" i="31"/>
  <c r="E32" i="31"/>
  <c r="D32" i="31"/>
  <c r="C32" i="31"/>
  <c r="F31" i="24"/>
  <c r="F30" i="24"/>
  <c r="F28" i="24"/>
  <c r="F27" i="24"/>
  <c r="K26" i="24"/>
  <c r="J26" i="24"/>
  <c r="G26" i="24"/>
  <c r="H26" i="24"/>
  <c r="F35" i="29"/>
  <c r="H35" i="29"/>
  <c r="G35" i="29"/>
  <c r="E35" i="29"/>
  <c r="D35" i="29"/>
  <c r="C36" i="29"/>
  <c r="C37" i="29"/>
  <c r="C38" i="29"/>
  <c r="C39" i="29"/>
  <c r="C40" i="29"/>
  <c r="G3" i="30"/>
  <c r="F3" i="30"/>
  <c r="E3" i="30"/>
  <c r="D3" i="30"/>
  <c r="C3" i="30"/>
  <c r="C38" i="30"/>
  <c r="D38" i="30"/>
  <c r="E38" i="30"/>
  <c r="F38" i="30"/>
  <c r="G38" i="30"/>
  <c r="C39" i="30"/>
  <c r="C83" i="30" s="1"/>
  <c r="D39" i="30"/>
  <c r="D83" i="30" s="1"/>
  <c r="E39" i="30"/>
  <c r="E83" i="30" s="1"/>
  <c r="F39" i="30"/>
  <c r="F83" i="30" s="1"/>
  <c r="G39" i="30"/>
  <c r="G83" i="30" s="1"/>
  <c r="C40" i="30"/>
  <c r="D40" i="30"/>
  <c r="E40" i="30"/>
  <c r="F40" i="30"/>
  <c r="G40" i="30"/>
  <c r="C41" i="30"/>
  <c r="D41" i="30"/>
  <c r="E41" i="30"/>
  <c r="F41" i="30"/>
  <c r="G41" i="30"/>
  <c r="C42" i="30"/>
  <c r="D42" i="30"/>
  <c r="E42" i="30"/>
  <c r="F42" i="30"/>
  <c r="G42" i="30"/>
  <c r="C43" i="30"/>
  <c r="D43" i="30"/>
  <c r="E43" i="30"/>
  <c r="F43" i="30"/>
  <c r="G43" i="30"/>
  <c r="C51" i="30"/>
  <c r="D51" i="30"/>
  <c r="E51" i="30"/>
  <c r="F51" i="30"/>
  <c r="G51" i="30"/>
  <c r="C52" i="30"/>
  <c r="D52" i="30"/>
  <c r="E52" i="30"/>
  <c r="F52" i="30"/>
  <c r="G52" i="30"/>
  <c r="C53" i="30"/>
  <c r="D53" i="30"/>
  <c r="E53" i="30"/>
  <c r="F53" i="30"/>
  <c r="G53" i="30"/>
  <c r="C54" i="30"/>
  <c r="D54" i="30"/>
  <c r="E54" i="30"/>
  <c r="F54" i="30"/>
  <c r="G54" i="30"/>
  <c r="C55" i="30"/>
  <c r="D55" i="30"/>
  <c r="E55" i="30"/>
  <c r="F55" i="30"/>
  <c r="G55" i="30"/>
  <c r="C57" i="30"/>
  <c r="D57" i="30"/>
  <c r="E57" i="30"/>
  <c r="F57" i="30"/>
  <c r="G57" i="30"/>
  <c r="C61" i="30"/>
  <c r="D61" i="30"/>
  <c r="E61" i="30"/>
  <c r="F61" i="30"/>
  <c r="G61" i="30"/>
  <c r="C62" i="30"/>
  <c r="D62" i="30"/>
  <c r="E62" i="30"/>
  <c r="F62" i="30"/>
  <c r="G62" i="30"/>
  <c r="C63" i="30"/>
  <c r="D63" i="30"/>
  <c r="E63" i="30"/>
  <c r="F63" i="30"/>
  <c r="G63" i="30"/>
  <c r="C64" i="30"/>
  <c r="D64" i="30"/>
  <c r="E64" i="30"/>
  <c r="F64" i="30"/>
  <c r="G64" i="30"/>
  <c r="C65" i="30"/>
  <c r="D65" i="30"/>
  <c r="E65" i="30"/>
  <c r="F65" i="30"/>
  <c r="G65" i="30"/>
  <c r="C66" i="30"/>
  <c r="D66" i="30"/>
  <c r="E66" i="30"/>
  <c r="F66" i="30"/>
  <c r="G66" i="30"/>
  <c r="B66" i="30"/>
  <c r="B65" i="30"/>
  <c r="B64" i="30"/>
  <c r="B79" i="30" s="1"/>
  <c r="B63" i="30"/>
  <c r="B78" i="30" s="1"/>
  <c r="B62" i="30"/>
  <c r="B77" i="30" s="1"/>
  <c r="B61" i="30"/>
  <c r="B76" i="30" s="1"/>
  <c r="B58" i="30"/>
  <c r="B57" i="30"/>
  <c r="B56" i="30"/>
  <c r="B80" i="30" s="1"/>
  <c r="B55" i="30"/>
  <c r="B54" i="30"/>
  <c r="B53" i="30"/>
  <c r="B52" i="30"/>
  <c r="B51" i="30"/>
  <c r="B45" i="30"/>
  <c r="B44" i="30"/>
  <c r="B73" i="30" s="1"/>
  <c r="B43" i="30"/>
  <c r="B42" i="30"/>
  <c r="B41" i="30"/>
  <c r="B72" i="30" s="1"/>
  <c r="B40" i="30"/>
  <c r="B71" i="30" s="1"/>
  <c r="B39" i="30"/>
  <c r="B70" i="30" s="1"/>
  <c r="B38" i="30"/>
  <c r="B69" i="30" s="1"/>
  <c r="D24" i="31"/>
  <c r="C24" i="31"/>
  <c r="G22" i="31"/>
  <c r="G20" i="31" s="1"/>
  <c r="G56" i="30" s="1"/>
  <c r="F22" i="31"/>
  <c r="F20" i="31" s="1"/>
  <c r="F56" i="30" s="1"/>
  <c r="E22" i="31"/>
  <c r="E20" i="31" s="1"/>
  <c r="E56" i="30" s="1"/>
  <c r="D22" i="31"/>
  <c r="D20" i="31" s="1"/>
  <c r="D56" i="30" s="1"/>
  <c r="C22" i="31"/>
  <c r="C20" i="31" s="1"/>
  <c r="C56" i="30" s="1"/>
  <c r="G12" i="31"/>
  <c r="G11" i="31" s="1"/>
  <c r="G44" i="30" s="1"/>
  <c r="F12" i="31"/>
  <c r="F11" i="31" s="1"/>
  <c r="F44" i="30" s="1"/>
  <c r="E12" i="31"/>
  <c r="E11" i="31" s="1"/>
  <c r="E44" i="30" s="1"/>
  <c r="D12" i="31"/>
  <c r="D11" i="31" s="1"/>
  <c r="D44" i="30" s="1"/>
  <c r="C12" i="31"/>
  <c r="C11" i="31" s="1"/>
  <c r="C44" i="30" s="1"/>
  <c r="G4" i="31"/>
  <c r="G14" i="31" s="1"/>
  <c r="G24" i="31" s="1"/>
  <c r="F4" i="31"/>
  <c r="F14" i="31" s="1"/>
  <c r="F24" i="31" s="1"/>
  <c r="E4" i="31"/>
  <c r="E14" i="31" s="1"/>
  <c r="E24" i="31" s="1"/>
  <c r="D4" i="31"/>
  <c r="D14" i="31" s="1"/>
  <c r="C4" i="31"/>
  <c r="C14" i="31" s="1"/>
  <c r="H2" i="29"/>
  <c r="F4" i="29"/>
  <c r="I6" i="32" s="1"/>
  <c r="E4" i="29"/>
  <c r="H6" i="32" s="1"/>
  <c r="I26" i="29"/>
  <c r="H26" i="29"/>
  <c r="G26" i="29"/>
  <c r="F26" i="29"/>
  <c r="E26" i="29"/>
  <c r="B22" i="29"/>
  <c r="I20" i="29"/>
  <c r="H20" i="29"/>
  <c r="G20" i="29"/>
  <c r="F20" i="29"/>
  <c r="E20" i="29"/>
  <c r="I17" i="29"/>
  <c r="H17" i="29"/>
  <c r="G17" i="29"/>
  <c r="F17" i="29"/>
  <c r="E17" i="29"/>
  <c r="I14" i="29"/>
  <c r="H14" i="29"/>
  <c r="G14" i="29"/>
  <c r="F14" i="29"/>
  <c r="E14" i="29"/>
  <c r="B10" i="29"/>
  <c r="I26" i="24"/>
  <c r="E3" i="22"/>
  <c r="D4" i="15"/>
  <c r="D36" i="24"/>
  <c r="C36" i="24"/>
  <c r="D37" i="19"/>
  <c r="C37" i="19"/>
  <c r="C9" i="6"/>
  <c r="B9" i="6"/>
  <c r="C32" i="19"/>
  <c r="E32" i="12"/>
  <c r="J18" i="12"/>
  <c r="I18" i="12"/>
  <c r="H18" i="12"/>
  <c r="G18" i="12"/>
  <c r="J17" i="12"/>
  <c r="I17" i="12"/>
  <c r="H17" i="12"/>
  <c r="G17" i="12"/>
  <c r="F18" i="12"/>
  <c r="F17" i="12"/>
  <c r="L30" i="2"/>
  <c r="K30" i="2"/>
  <c r="J30" i="2"/>
  <c r="I30" i="2"/>
  <c r="H30" i="2"/>
  <c r="G30" i="2"/>
  <c r="F30" i="2"/>
  <c r="E30" i="2"/>
  <c r="D30" i="2"/>
  <c r="C30" i="2"/>
  <c r="B59" i="27"/>
  <c r="B58" i="27"/>
  <c r="B57" i="27"/>
  <c r="B55" i="27"/>
  <c r="B54" i="27"/>
  <c r="B49" i="27"/>
  <c r="B41" i="27"/>
  <c r="B40" i="27"/>
  <c r="B32" i="27"/>
  <c r="B53" i="27" s="1"/>
  <c r="B2" i="27"/>
  <c r="B2" i="25"/>
  <c r="K100" i="6"/>
  <c r="J100" i="6"/>
  <c r="I100" i="6"/>
  <c r="J30" i="8" s="1"/>
  <c r="E34" i="25" s="1"/>
  <c r="H100" i="6"/>
  <c r="G100" i="6"/>
  <c r="F100" i="6"/>
  <c r="E100" i="6"/>
  <c r="D100" i="6"/>
  <c r="C100" i="6"/>
  <c r="B100" i="6"/>
  <c r="K99" i="6"/>
  <c r="I99" i="6"/>
  <c r="H99" i="6"/>
  <c r="K98" i="6"/>
  <c r="J98" i="6"/>
  <c r="J99" i="6" s="1"/>
  <c r="I98" i="6"/>
  <c r="H98" i="6"/>
  <c r="I30" i="8" s="1"/>
  <c r="D34" i="25" s="1"/>
  <c r="G98" i="6"/>
  <c r="G99" i="6" s="1"/>
  <c r="F98" i="6"/>
  <c r="G30" i="8" s="1"/>
  <c r="E98" i="6"/>
  <c r="D98" i="6"/>
  <c r="D99" i="6" s="1"/>
  <c r="C98" i="6"/>
  <c r="B98" i="6"/>
  <c r="B99" i="6" s="1"/>
  <c r="E7" i="32" l="1"/>
  <c r="N21" i="32" s="1"/>
  <c r="I17" i="32"/>
  <c r="I30" i="32"/>
  <c r="E6" i="32"/>
  <c r="N18" i="32" s="1"/>
  <c r="J30" i="32"/>
  <c r="C7" i="32"/>
  <c r="F21" i="32" s="1"/>
  <c r="L30" i="32"/>
  <c r="J18" i="32"/>
  <c r="J17" i="32" s="1"/>
  <c r="I21" i="32"/>
  <c r="C6" i="32"/>
  <c r="F18" i="32" s="1"/>
  <c r="I23" i="32"/>
  <c r="I20" i="32"/>
  <c r="M21" i="32"/>
  <c r="M30" i="32"/>
  <c r="E8" i="32"/>
  <c r="C8" i="32"/>
  <c r="C9" i="32"/>
  <c r="C73" i="30"/>
  <c r="D72" i="30"/>
  <c r="E70" i="30"/>
  <c r="E71" i="30"/>
  <c r="F72" i="30"/>
  <c r="G58" i="30"/>
  <c r="G45" i="30"/>
  <c r="F58" i="30"/>
  <c r="F45" i="30"/>
  <c r="E58" i="30"/>
  <c r="E45" i="30"/>
  <c r="D58" i="30"/>
  <c r="D45" i="30"/>
  <c r="C58" i="30"/>
  <c r="C45" i="30"/>
  <c r="F47" i="30"/>
  <c r="E48" i="30"/>
  <c r="G47" i="30"/>
  <c r="G70" i="30"/>
  <c r="F70" i="30"/>
  <c r="C71" i="30"/>
  <c r="E72" i="30"/>
  <c r="E47" i="30"/>
  <c r="C72" i="30"/>
  <c r="D48" i="30"/>
  <c r="D70" i="30"/>
  <c r="C48" i="30"/>
  <c r="C47" i="30"/>
  <c r="D47" i="30"/>
  <c r="G48" i="30"/>
  <c r="F48" i="30"/>
  <c r="D71" i="30"/>
  <c r="E69" i="30"/>
  <c r="G72" i="30"/>
  <c r="D69" i="30"/>
  <c r="D73" i="30"/>
  <c r="C76" i="30"/>
  <c r="G80" i="30"/>
  <c r="F78" i="30"/>
  <c r="C77" i="30"/>
  <c r="G78" i="30"/>
  <c r="F80" i="30"/>
  <c r="G76" i="30"/>
  <c r="E73" i="30"/>
  <c r="F76" i="30"/>
  <c r="C69" i="30"/>
  <c r="G71" i="30"/>
  <c r="G69" i="30"/>
  <c r="F73" i="30"/>
  <c r="C78" i="30"/>
  <c r="E78" i="30"/>
  <c r="E76" i="30"/>
  <c r="C70" i="30"/>
  <c r="F71" i="30"/>
  <c r="F69" i="30"/>
  <c r="G73" i="30"/>
  <c r="C79" i="30"/>
  <c r="D78" i="30"/>
  <c r="D76" i="30"/>
  <c r="G79" i="30"/>
  <c r="G77" i="30"/>
  <c r="F79" i="30"/>
  <c r="F77" i="30"/>
  <c r="C80" i="30"/>
  <c r="E79" i="30"/>
  <c r="E77" i="30"/>
  <c r="D80" i="30"/>
  <c r="D79" i="30"/>
  <c r="D77" i="30"/>
  <c r="E80" i="30"/>
  <c r="E30" i="8"/>
  <c r="H30" i="8"/>
  <c r="C34" i="25" s="1"/>
  <c r="D30" i="8"/>
  <c r="L30" i="8"/>
  <c r="G34" i="25" s="1"/>
  <c r="C99" i="6"/>
  <c r="F30" i="8"/>
  <c r="E99" i="6"/>
  <c r="F99" i="6"/>
  <c r="C30" i="8"/>
  <c r="K30" i="8"/>
  <c r="F34" i="25" s="1"/>
  <c r="N30" i="8"/>
  <c r="O30" i="8"/>
  <c r="B48" i="27"/>
  <c r="C31" i="24"/>
  <c r="C33" i="24"/>
  <c r="C30" i="24"/>
  <c r="F9" i="24"/>
  <c r="G9" i="24" s="1"/>
  <c r="F6" i="16" a="1"/>
  <c r="F6" i="16" s="1"/>
  <c r="F7" i="16" s="1"/>
  <c r="Q27" i="21"/>
  <c r="P27" i="21"/>
  <c r="O27" i="21"/>
  <c r="B27" i="21"/>
  <c r="K10" i="21"/>
  <c r="L10" i="21"/>
  <c r="M10" i="21"/>
  <c r="K11" i="21"/>
  <c r="L11" i="21"/>
  <c r="M11" i="21"/>
  <c r="K12" i="21"/>
  <c r="L12" i="21"/>
  <c r="M12" i="21"/>
  <c r="K13" i="21"/>
  <c r="L13" i="21"/>
  <c r="M13" i="21"/>
  <c r="K14" i="21"/>
  <c r="L14" i="21"/>
  <c r="M14" i="21"/>
  <c r="K15" i="21"/>
  <c r="L15" i="21"/>
  <c r="M15" i="21"/>
  <c r="K16" i="21"/>
  <c r="L16" i="21"/>
  <c r="M16" i="21"/>
  <c r="M9" i="21"/>
  <c r="L9" i="21"/>
  <c r="K9" i="21"/>
  <c r="G13" i="21"/>
  <c r="J4" i="22"/>
  <c r="G10" i="21" s="1"/>
  <c r="J5" i="22"/>
  <c r="G11" i="21" s="1"/>
  <c r="J6" i="22"/>
  <c r="G12" i="21" s="1"/>
  <c r="J7" i="22"/>
  <c r="J8" i="22"/>
  <c r="G14" i="21" s="1"/>
  <c r="J9" i="22"/>
  <c r="G15" i="21" s="1"/>
  <c r="J10" i="22"/>
  <c r="J11" i="22"/>
  <c r="J12" i="22"/>
  <c r="G16" i="21" s="1"/>
  <c r="J3" i="22"/>
  <c r="G9" i="21" s="1"/>
  <c r="Q30" i="21" s="1"/>
  <c r="E10" i="21"/>
  <c r="E11" i="21"/>
  <c r="E12" i="21"/>
  <c r="E13" i="21"/>
  <c r="E14" i="21"/>
  <c r="E15" i="21"/>
  <c r="E16" i="21"/>
  <c r="E9" i="21"/>
  <c r="Q32" i="21" s="1"/>
  <c r="D10" i="21"/>
  <c r="D11" i="21"/>
  <c r="D12" i="21"/>
  <c r="D13" i="21"/>
  <c r="D14" i="21"/>
  <c r="D15" i="21"/>
  <c r="D16" i="21"/>
  <c r="D9" i="21"/>
  <c r="C10" i="21"/>
  <c r="C11" i="21"/>
  <c r="C12" i="21"/>
  <c r="C13" i="21"/>
  <c r="C14" i="21"/>
  <c r="C15" i="21"/>
  <c r="C16" i="21"/>
  <c r="C9" i="21"/>
  <c r="B10" i="25" s="1"/>
  <c r="B10" i="21"/>
  <c r="B11" i="21"/>
  <c r="B12" i="21"/>
  <c r="B13" i="21"/>
  <c r="B14" i="21"/>
  <c r="B15" i="21"/>
  <c r="B16" i="21"/>
  <c r="B9" i="21"/>
  <c r="M4" i="22"/>
  <c r="M5" i="22"/>
  <c r="M6" i="22"/>
  <c r="M7" i="22"/>
  <c r="M8" i="22"/>
  <c r="M9" i="22"/>
  <c r="M10" i="22"/>
  <c r="M11" i="22"/>
  <c r="M12" i="22"/>
  <c r="L26" i="22"/>
  <c r="L27" i="22"/>
  <c r="L28" i="22"/>
  <c r="L29" i="22"/>
  <c r="L30" i="22"/>
  <c r="M3" i="22"/>
  <c r="F30" i="22"/>
  <c r="F29" i="22"/>
  <c r="F28" i="22"/>
  <c r="F27" i="22"/>
  <c r="F26" i="22"/>
  <c r="G12" i="22"/>
  <c r="G11" i="22"/>
  <c r="G10" i="22"/>
  <c r="G9" i="22"/>
  <c r="G8" i="22"/>
  <c r="G7" i="22"/>
  <c r="G6" i="22"/>
  <c r="G5" i="22"/>
  <c r="G4" i="22"/>
  <c r="G3" i="22"/>
  <c r="C34" i="19"/>
  <c r="C31" i="19"/>
  <c r="C21" i="19"/>
  <c r="F9" i="19"/>
  <c r="G9" i="19" s="1"/>
  <c r="H9" i="19" s="1"/>
  <c r="I9" i="19" s="1"/>
  <c r="D2" i="19"/>
  <c r="E2" i="19" s="1"/>
  <c r="F2" i="19" s="1"/>
  <c r="G2" i="19" s="1"/>
  <c r="H2" i="19" s="1"/>
  <c r="I2" i="19" s="1"/>
  <c r="B59" i="17"/>
  <c r="B58" i="17"/>
  <c r="K56" i="17"/>
  <c r="J56" i="17"/>
  <c r="I56" i="17"/>
  <c r="H56" i="17"/>
  <c r="G56" i="17"/>
  <c r="K41" i="17"/>
  <c r="J41" i="17"/>
  <c r="I41" i="17"/>
  <c r="H41" i="17"/>
  <c r="G41" i="17"/>
  <c r="H40" i="17"/>
  <c r="I40" i="17"/>
  <c r="J40" i="17"/>
  <c r="K40" i="17"/>
  <c r="G40" i="17"/>
  <c r="K38" i="17"/>
  <c r="J38" i="17"/>
  <c r="I38" i="17"/>
  <c r="H38" i="17"/>
  <c r="G38" i="17"/>
  <c r="H2" i="17"/>
  <c r="I2" i="17"/>
  <c r="J2" i="17"/>
  <c r="K2" i="17"/>
  <c r="G2" i="17"/>
  <c r="C30" i="18"/>
  <c r="D30" i="18"/>
  <c r="E30" i="18"/>
  <c r="F30" i="18"/>
  <c r="G30" i="18"/>
  <c r="H30" i="18"/>
  <c r="I30" i="18"/>
  <c r="J30" i="18"/>
  <c r="K30" i="18"/>
  <c r="L30" i="18"/>
  <c r="M30" i="18"/>
  <c r="N30" i="18"/>
  <c r="B5" i="17"/>
  <c r="G5" i="17"/>
  <c r="H5" i="17"/>
  <c r="I5" i="17"/>
  <c r="J5" i="17"/>
  <c r="K5" i="17"/>
  <c r="B6" i="17"/>
  <c r="G6" i="17"/>
  <c r="H6" i="17"/>
  <c r="I6" i="17"/>
  <c r="J6" i="17"/>
  <c r="K6" i="17"/>
  <c r="B7" i="17"/>
  <c r="G7" i="17"/>
  <c r="H7" i="17"/>
  <c r="I7" i="17"/>
  <c r="J7" i="17"/>
  <c r="K7" i="17"/>
  <c r="B8" i="17"/>
  <c r="G8" i="17"/>
  <c r="H8" i="17"/>
  <c r="I8" i="17"/>
  <c r="J8" i="17"/>
  <c r="K8" i="17"/>
  <c r="B12" i="17"/>
  <c r="G12" i="17"/>
  <c r="H12" i="17"/>
  <c r="I12" i="17"/>
  <c r="J12" i="17"/>
  <c r="K12" i="17"/>
  <c r="B13" i="17"/>
  <c r="G13" i="17"/>
  <c r="H13" i="17"/>
  <c r="H15" i="17" s="1"/>
  <c r="I13" i="17"/>
  <c r="J13" i="17"/>
  <c r="K13" i="17"/>
  <c r="B14" i="17"/>
  <c r="G14" i="17"/>
  <c r="H14" i="17"/>
  <c r="I14" i="17"/>
  <c r="J14" i="17"/>
  <c r="K14" i="17"/>
  <c r="B20" i="17"/>
  <c r="G20" i="17"/>
  <c r="H20" i="17"/>
  <c r="I20" i="17"/>
  <c r="J20" i="17"/>
  <c r="K20" i="17"/>
  <c r="B21" i="17"/>
  <c r="G21" i="17"/>
  <c r="H21" i="17"/>
  <c r="I21" i="17"/>
  <c r="J21" i="17"/>
  <c r="K21" i="17"/>
  <c r="B22" i="17"/>
  <c r="G22" i="17"/>
  <c r="H22" i="17"/>
  <c r="I22" i="17"/>
  <c r="J22" i="17"/>
  <c r="K22" i="17"/>
  <c r="B23" i="17"/>
  <c r="G23" i="17"/>
  <c r="H23" i="17"/>
  <c r="I23" i="17"/>
  <c r="J23" i="17"/>
  <c r="K23" i="17"/>
  <c r="B24" i="17"/>
  <c r="G24" i="17"/>
  <c r="H24" i="17"/>
  <c r="I24" i="17"/>
  <c r="J24" i="17"/>
  <c r="K24" i="17"/>
  <c r="B25" i="17"/>
  <c r="G25" i="17"/>
  <c r="H25" i="17"/>
  <c r="I25" i="17"/>
  <c r="J25" i="17"/>
  <c r="K25" i="17"/>
  <c r="B26" i="17"/>
  <c r="G26" i="17"/>
  <c r="H26" i="17"/>
  <c r="I26" i="17"/>
  <c r="J26" i="17"/>
  <c r="K26" i="17"/>
  <c r="B27" i="17"/>
  <c r="G27" i="17"/>
  <c r="H27" i="17"/>
  <c r="I27" i="17"/>
  <c r="J27" i="17"/>
  <c r="K27" i="17"/>
  <c r="B28" i="17"/>
  <c r="G28" i="17"/>
  <c r="H28" i="17"/>
  <c r="I28" i="17"/>
  <c r="J28" i="17"/>
  <c r="K28" i="17"/>
  <c r="B30" i="17"/>
  <c r="G30" i="17"/>
  <c r="H30" i="17"/>
  <c r="I30" i="17"/>
  <c r="J30" i="17"/>
  <c r="K30" i="17"/>
  <c r="BH7" i="14"/>
  <c r="I14" i="12" s="1"/>
  <c r="M8" i="14"/>
  <c r="J7" i="14" s="1"/>
  <c r="D9" i="14"/>
  <c r="M5" i="14" s="1"/>
  <c r="G9" i="14"/>
  <c r="X9" i="14"/>
  <c r="AA9" i="14"/>
  <c r="AH9" i="14"/>
  <c r="AN7" i="14" s="1"/>
  <c r="AK9" i="14"/>
  <c r="AR9" i="14"/>
  <c r="AX7" i="14" s="1"/>
  <c r="AU9" i="14"/>
  <c r="BB9" i="14"/>
  <c r="BE9" i="14"/>
  <c r="D10" i="14"/>
  <c r="G10" i="14"/>
  <c r="X10" i="14"/>
  <c r="AD7" i="14" s="1"/>
  <c r="AA10" i="14"/>
  <c r="AH10" i="14"/>
  <c r="AK10" i="14"/>
  <c r="AR10" i="14"/>
  <c r="AU10" i="14"/>
  <c r="BB10" i="14"/>
  <c r="BE10" i="14"/>
  <c r="D11" i="14"/>
  <c r="G11" i="14"/>
  <c r="J11" i="14"/>
  <c r="X11" i="14"/>
  <c r="AA11" i="14"/>
  <c r="AD11" i="14"/>
  <c r="AH11" i="14"/>
  <c r="AK11" i="14"/>
  <c r="AN11" i="14"/>
  <c r="AR11" i="14"/>
  <c r="AU11" i="14"/>
  <c r="AX11" i="14"/>
  <c r="BB11" i="14"/>
  <c r="BE11" i="14"/>
  <c r="BH11" i="14"/>
  <c r="D12" i="14"/>
  <c r="G12" i="14"/>
  <c r="X12" i="14"/>
  <c r="AA12" i="14"/>
  <c r="AH12" i="14"/>
  <c r="AK12" i="14"/>
  <c r="AR12" i="14"/>
  <c r="AU12" i="14"/>
  <c r="BB12" i="14"/>
  <c r="BE12" i="14"/>
  <c r="D13" i="14"/>
  <c r="G13" i="14"/>
  <c r="X13" i="14"/>
  <c r="AA13" i="14"/>
  <c r="AH13" i="14"/>
  <c r="AK13" i="14"/>
  <c r="AR13" i="14"/>
  <c r="AU13" i="14"/>
  <c r="BB13" i="14"/>
  <c r="BE13" i="14"/>
  <c r="D14" i="14"/>
  <c r="G14" i="14"/>
  <c r="X14" i="14"/>
  <c r="AA14" i="14"/>
  <c r="AH14" i="14"/>
  <c r="AK14" i="14"/>
  <c r="AR14" i="14"/>
  <c r="AU14" i="14"/>
  <c r="BB14" i="14"/>
  <c r="BE14" i="14"/>
  <c r="D15" i="14"/>
  <c r="G15" i="14"/>
  <c r="X15" i="14"/>
  <c r="AA15" i="14"/>
  <c r="AH15" i="14"/>
  <c r="AK15" i="14"/>
  <c r="AR15" i="14"/>
  <c r="AU15" i="14"/>
  <c r="BB15" i="14"/>
  <c r="BE15" i="14"/>
  <c r="D16" i="14"/>
  <c r="G16" i="14"/>
  <c r="X16" i="14"/>
  <c r="AA16" i="14"/>
  <c r="AH16" i="14"/>
  <c r="AK16" i="14"/>
  <c r="AR16" i="14"/>
  <c r="AU16" i="14"/>
  <c r="BB16" i="14"/>
  <c r="BE16" i="14"/>
  <c r="D17" i="14"/>
  <c r="G17" i="14"/>
  <c r="X17" i="14"/>
  <c r="AA17" i="14"/>
  <c r="AH17" i="14"/>
  <c r="AK17" i="14"/>
  <c r="AR17" i="14"/>
  <c r="AU17" i="14"/>
  <c r="BB17" i="14"/>
  <c r="BE17" i="14"/>
  <c r="D18" i="14"/>
  <c r="G18" i="14"/>
  <c r="X18" i="14"/>
  <c r="AA18" i="14"/>
  <c r="AH18" i="14"/>
  <c r="AK18" i="14"/>
  <c r="AR18" i="14"/>
  <c r="AU18" i="14"/>
  <c r="BB18" i="14"/>
  <c r="BE18" i="14"/>
  <c r="D19" i="14"/>
  <c r="G19" i="14"/>
  <c r="X19" i="14"/>
  <c r="AA19" i="14"/>
  <c r="AH19" i="14"/>
  <c r="AK19" i="14"/>
  <c r="AR19" i="14"/>
  <c r="AU19" i="14"/>
  <c r="BB19" i="14"/>
  <c r="BE19" i="14"/>
  <c r="D20" i="14"/>
  <c r="G20" i="14"/>
  <c r="X20" i="14"/>
  <c r="AA20" i="14"/>
  <c r="AH20" i="14"/>
  <c r="AK20" i="14"/>
  <c r="AR20" i="14"/>
  <c r="AU20" i="14"/>
  <c r="BB20" i="14"/>
  <c r="BE20" i="14"/>
  <c r="D21" i="14"/>
  <c r="G21" i="14"/>
  <c r="X21" i="14"/>
  <c r="AA21" i="14"/>
  <c r="AH21" i="14"/>
  <c r="AK21" i="14"/>
  <c r="AR21" i="14"/>
  <c r="AU21" i="14"/>
  <c r="BB21" i="14"/>
  <c r="BE21" i="14"/>
  <c r="D22" i="14"/>
  <c r="G22" i="14"/>
  <c r="X22" i="14"/>
  <c r="AA22" i="14"/>
  <c r="AH22" i="14"/>
  <c r="AK22" i="14"/>
  <c r="AR22" i="14"/>
  <c r="AU22" i="14"/>
  <c r="BB22" i="14"/>
  <c r="BE22" i="14"/>
  <c r="D23" i="14"/>
  <c r="G23" i="14"/>
  <c r="X23" i="14"/>
  <c r="AA23" i="14"/>
  <c r="AH23" i="14"/>
  <c r="AK23" i="14"/>
  <c r="AR23" i="14"/>
  <c r="AU23" i="14"/>
  <c r="BB23" i="14"/>
  <c r="BE23" i="14"/>
  <c r="D24" i="14"/>
  <c r="G24" i="14"/>
  <c r="X24" i="14"/>
  <c r="AA24" i="14"/>
  <c r="AH24" i="14"/>
  <c r="AK24" i="14"/>
  <c r="AR24" i="14"/>
  <c r="AU24" i="14"/>
  <c r="BB24" i="14"/>
  <c r="BE24" i="14"/>
  <c r="D25" i="14"/>
  <c r="G25" i="14"/>
  <c r="X25" i="14"/>
  <c r="AA25" i="14"/>
  <c r="AH25" i="14"/>
  <c r="AK25" i="14"/>
  <c r="AR25" i="14"/>
  <c r="AU25" i="14"/>
  <c r="BB25" i="14"/>
  <c r="BE25" i="14"/>
  <c r="D26" i="14"/>
  <c r="G26" i="14"/>
  <c r="X26" i="14"/>
  <c r="AA26" i="14"/>
  <c r="AH26" i="14"/>
  <c r="AK26" i="14"/>
  <c r="AR26" i="14"/>
  <c r="AU26" i="14"/>
  <c r="BB26" i="14"/>
  <c r="BE26" i="14"/>
  <c r="D27" i="14"/>
  <c r="G27" i="14"/>
  <c r="X27" i="14"/>
  <c r="AA27" i="14"/>
  <c r="AH27" i="14"/>
  <c r="AK27" i="14"/>
  <c r="AR27" i="14"/>
  <c r="AU27" i="14"/>
  <c r="BB27" i="14"/>
  <c r="BE27" i="14"/>
  <c r="D28" i="14"/>
  <c r="G28" i="14"/>
  <c r="X28" i="14"/>
  <c r="AA28" i="14"/>
  <c r="AH28" i="14"/>
  <c r="AK28" i="14"/>
  <c r="AR28" i="14"/>
  <c r="AU28" i="14"/>
  <c r="BB28" i="14"/>
  <c r="BE28" i="14"/>
  <c r="D29" i="14"/>
  <c r="G29" i="14"/>
  <c r="X29" i="14"/>
  <c r="AA29" i="14"/>
  <c r="AH29" i="14"/>
  <c r="AK29" i="14"/>
  <c r="AR29" i="14"/>
  <c r="AU29" i="14"/>
  <c r="BB29" i="14"/>
  <c r="BE29" i="14"/>
  <c r="D30" i="14"/>
  <c r="G30" i="14"/>
  <c r="X30" i="14"/>
  <c r="AA30" i="14"/>
  <c r="AH30" i="14"/>
  <c r="AK30" i="14"/>
  <c r="AR30" i="14"/>
  <c r="AU30" i="14"/>
  <c r="BB30" i="14"/>
  <c r="BE30" i="14"/>
  <c r="D31" i="14"/>
  <c r="G31" i="14"/>
  <c r="X31" i="14"/>
  <c r="AA31" i="14"/>
  <c r="AH31" i="14"/>
  <c r="AK31" i="14"/>
  <c r="AR31" i="14"/>
  <c r="AU31" i="14"/>
  <c r="BB31" i="14"/>
  <c r="BE31" i="14"/>
  <c r="D32" i="14"/>
  <c r="G32" i="14"/>
  <c r="X32" i="14"/>
  <c r="AA32" i="14"/>
  <c r="AH32" i="14"/>
  <c r="AK32" i="14"/>
  <c r="AR32" i="14"/>
  <c r="AU32" i="14"/>
  <c r="BB32" i="14"/>
  <c r="BE32" i="14"/>
  <c r="D33" i="14"/>
  <c r="G33" i="14"/>
  <c r="X33" i="14"/>
  <c r="AA33" i="14"/>
  <c r="AH33" i="14"/>
  <c r="AK33" i="14"/>
  <c r="AR33" i="14"/>
  <c r="AU33" i="14"/>
  <c r="BB33" i="14"/>
  <c r="BE33" i="14"/>
  <c r="D34" i="14"/>
  <c r="G34" i="14"/>
  <c r="X34" i="14"/>
  <c r="AA34" i="14"/>
  <c r="AH34" i="14"/>
  <c r="AK34" i="14"/>
  <c r="AR34" i="14"/>
  <c r="AU34" i="14"/>
  <c r="BB34" i="14"/>
  <c r="BE34" i="14"/>
  <c r="D35" i="14"/>
  <c r="G35" i="14"/>
  <c r="X35" i="14"/>
  <c r="AA35" i="14"/>
  <c r="AH35" i="14"/>
  <c r="AK35" i="14"/>
  <c r="AR35" i="14"/>
  <c r="AU35" i="14"/>
  <c r="BB35" i="14"/>
  <c r="BE35" i="14"/>
  <c r="D36" i="14"/>
  <c r="G36" i="14"/>
  <c r="X36" i="14"/>
  <c r="AA36" i="14"/>
  <c r="AH36" i="14"/>
  <c r="AK36" i="14"/>
  <c r="AR36" i="14"/>
  <c r="AU36" i="14"/>
  <c r="BB36" i="14"/>
  <c r="BE36" i="14"/>
  <c r="D37" i="14"/>
  <c r="G37" i="14"/>
  <c r="X37" i="14"/>
  <c r="AA37" i="14"/>
  <c r="AH37" i="14"/>
  <c r="AK37" i="14"/>
  <c r="AR37" i="14"/>
  <c r="AU37" i="14"/>
  <c r="BB37" i="14"/>
  <c r="BE37" i="14"/>
  <c r="D38" i="14"/>
  <c r="G38" i="14"/>
  <c r="X38" i="14"/>
  <c r="AA38" i="14"/>
  <c r="AH38" i="14"/>
  <c r="AK38" i="14"/>
  <c r="AR38" i="14"/>
  <c r="AU38" i="14"/>
  <c r="BB38" i="14"/>
  <c r="BE38" i="14"/>
  <c r="D39" i="14"/>
  <c r="G39" i="14"/>
  <c r="X39" i="14"/>
  <c r="AA39" i="14"/>
  <c r="AH39" i="14"/>
  <c r="AK39" i="14"/>
  <c r="AR39" i="14"/>
  <c r="AU39" i="14"/>
  <c r="BB39" i="14"/>
  <c r="BE39" i="14"/>
  <c r="D40" i="14"/>
  <c r="G40" i="14"/>
  <c r="X40" i="14"/>
  <c r="AA40" i="14"/>
  <c r="AH40" i="14"/>
  <c r="AK40" i="14"/>
  <c r="AR40" i="14"/>
  <c r="AU40" i="14"/>
  <c r="BB40" i="14"/>
  <c r="BE40" i="14"/>
  <c r="D41" i="14"/>
  <c r="G41" i="14"/>
  <c r="X41" i="14"/>
  <c r="AA41" i="14"/>
  <c r="AH41" i="14"/>
  <c r="AK41" i="14"/>
  <c r="AR41" i="14"/>
  <c r="AU41" i="14"/>
  <c r="BB41" i="14"/>
  <c r="BE41" i="14"/>
  <c r="D42" i="14"/>
  <c r="G42" i="14"/>
  <c r="X42" i="14"/>
  <c r="AA42" i="14"/>
  <c r="AH42" i="14"/>
  <c r="AK42" i="14"/>
  <c r="AR42" i="14"/>
  <c r="AU42" i="14"/>
  <c r="BB42" i="14"/>
  <c r="BE42" i="14"/>
  <c r="D43" i="14"/>
  <c r="G43" i="14"/>
  <c r="X43" i="14"/>
  <c r="AA43" i="14"/>
  <c r="AH43" i="14"/>
  <c r="AK43" i="14"/>
  <c r="AR43" i="14"/>
  <c r="AU43" i="14"/>
  <c r="BB43" i="14"/>
  <c r="BE43" i="14"/>
  <c r="D44" i="14"/>
  <c r="G44" i="14"/>
  <c r="X44" i="14"/>
  <c r="AA44" i="14"/>
  <c r="AH44" i="14"/>
  <c r="AK44" i="14"/>
  <c r="AR44" i="14"/>
  <c r="AU44" i="14"/>
  <c r="BB44" i="14"/>
  <c r="BE44" i="14"/>
  <c r="D45" i="14"/>
  <c r="G45" i="14"/>
  <c r="X45" i="14"/>
  <c r="AA45" i="14"/>
  <c r="AH45" i="14"/>
  <c r="AK45" i="14"/>
  <c r="AR45" i="14"/>
  <c r="AU45" i="14"/>
  <c r="BB45" i="14"/>
  <c r="BE45" i="14"/>
  <c r="D46" i="14"/>
  <c r="G46" i="14"/>
  <c r="X46" i="14"/>
  <c r="AA46" i="14"/>
  <c r="AH46" i="14"/>
  <c r="AK46" i="14"/>
  <c r="AR46" i="14"/>
  <c r="AU46" i="14"/>
  <c r="BB46" i="14"/>
  <c r="BE46" i="14"/>
  <c r="D47" i="14"/>
  <c r="G47" i="14"/>
  <c r="X47" i="14"/>
  <c r="AA47" i="14"/>
  <c r="AH47" i="14"/>
  <c r="AK47" i="14"/>
  <c r="AR47" i="14"/>
  <c r="AU47" i="14"/>
  <c r="BB47" i="14"/>
  <c r="BE47" i="14"/>
  <c r="D48" i="14"/>
  <c r="G48" i="14"/>
  <c r="X48" i="14"/>
  <c r="AA48" i="14"/>
  <c r="AH48" i="14"/>
  <c r="AK48" i="14"/>
  <c r="AR48" i="14"/>
  <c r="AU48" i="14"/>
  <c r="BB48" i="14"/>
  <c r="BE48" i="14"/>
  <c r="D49" i="14"/>
  <c r="G49" i="14"/>
  <c r="X49" i="14"/>
  <c r="AA49" i="14"/>
  <c r="AH49" i="14"/>
  <c r="AK49" i="14"/>
  <c r="AR49" i="14"/>
  <c r="AU49" i="14"/>
  <c r="BB49" i="14"/>
  <c r="BE49" i="14"/>
  <c r="D50" i="14"/>
  <c r="G50" i="14"/>
  <c r="X50" i="14"/>
  <c r="AA50" i="14"/>
  <c r="AH50" i="14"/>
  <c r="AK50" i="14"/>
  <c r="AR50" i="14"/>
  <c r="AU50" i="14"/>
  <c r="BB50" i="14"/>
  <c r="BE50" i="14"/>
  <c r="D51" i="14"/>
  <c r="G51" i="14"/>
  <c r="X51" i="14"/>
  <c r="AA51" i="14"/>
  <c r="AH51" i="14"/>
  <c r="AK51" i="14"/>
  <c r="AR51" i="14"/>
  <c r="AU51" i="14"/>
  <c r="BB51" i="14"/>
  <c r="BE51" i="14"/>
  <c r="D52" i="14"/>
  <c r="G52" i="14"/>
  <c r="X52" i="14"/>
  <c r="AA52" i="14"/>
  <c r="AH52" i="14"/>
  <c r="AK52" i="14"/>
  <c r="AR52" i="14"/>
  <c r="AU52" i="14"/>
  <c r="BB52" i="14"/>
  <c r="BE52" i="14"/>
  <c r="D53" i="14"/>
  <c r="G53" i="14"/>
  <c r="X53" i="14"/>
  <c r="AA53" i="14"/>
  <c r="AH53" i="14"/>
  <c r="AK53" i="14"/>
  <c r="AR53" i="14"/>
  <c r="AU53" i="14"/>
  <c r="BB53" i="14"/>
  <c r="BE53" i="14"/>
  <c r="D54" i="14"/>
  <c r="G54" i="14"/>
  <c r="X54" i="14"/>
  <c r="AA54" i="14"/>
  <c r="AH54" i="14"/>
  <c r="AK54" i="14"/>
  <c r="AR54" i="14"/>
  <c r="AU54" i="14"/>
  <c r="BB54" i="14"/>
  <c r="BE54" i="14"/>
  <c r="D55" i="14"/>
  <c r="G55" i="14"/>
  <c r="X55" i="14"/>
  <c r="AA55" i="14"/>
  <c r="AH55" i="14"/>
  <c r="AK55" i="14"/>
  <c r="AR55" i="14"/>
  <c r="AU55" i="14"/>
  <c r="BB55" i="14"/>
  <c r="BE55" i="14"/>
  <c r="D56" i="14"/>
  <c r="G56" i="14"/>
  <c r="X56" i="14"/>
  <c r="AA56" i="14"/>
  <c r="AH56" i="14"/>
  <c r="AK56" i="14"/>
  <c r="AR56" i="14"/>
  <c r="AU56" i="14"/>
  <c r="BB56" i="14"/>
  <c r="BE56" i="14"/>
  <c r="D57" i="14"/>
  <c r="G57" i="14"/>
  <c r="X57" i="14"/>
  <c r="AA57" i="14"/>
  <c r="AH57" i="14"/>
  <c r="AK57" i="14"/>
  <c r="AR57" i="14"/>
  <c r="AU57" i="14"/>
  <c r="BB57" i="14"/>
  <c r="BE57" i="14"/>
  <c r="D58" i="14"/>
  <c r="G58" i="14"/>
  <c r="X58" i="14"/>
  <c r="AA58" i="14"/>
  <c r="AH58" i="14"/>
  <c r="AK58" i="14"/>
  <c r="AR58" i="14"/>
  <c r="AU58" i="14"/>
  <c r="BB58" i="14"/>
  <c r="BE58" i="14"/>
  <c r="D59" i="14"/>
  <c r="G59" i="14"/>
  <c r="X59" i="14"/>
  <c r="AA59" i="14"/>
  <c r="AH59" i="14"/>
  <c r="AK59" i="14"/>
  <c r="AR59" i="14"/>
  <c r="AU59" i="14"/>
  <c r="BB59" i="14"/>
  <c r="BE59" i="14"/>
  <c r="D60" i="14"/>
  <c r="G60" i="14"/>
  <c r="X60" i="14"/>
  <c r="AA60" i="14"/>
  <c r="AH60" i="14"/>
  <c r="AK60" i="14"/>
  <c r="AR60" i="14"/>
  <c r="AU60" i="14"/>
  <c r="D61" i="14"/>
  <c r="G61" i="14"/>
  <c r="X61" i="14"/>
  <c r="AA61" i="14"/>
  <c r="AH61" i="14"/>
  <c r="AK61" i="14"/>
  <c r="AR61" i="14"/>
  <c r="AU61" i="14"/>
  <c r="D62" i="14"/>
  <c r="G62" i="14"/>
  <c r="X62" i="14"/>
  <c r="AA62" i="14"/>
  <c r="AH62" i="14"/>
  <c r="AK62" i="14"/>
  <c r="AR62" i="14"/>
  <c r="AU62" i="14"/>
  <c r="D63" i="14"/>
  <c r="G63" i="14"/>
  <c r="X63" i="14"/>
  <c r="AA63" i="14"/>
  <c r="AH63" i="14"/>
  <c r="AK63" i="14"/>
  <c r="AR63" i="14"/>
  <c r="AU63" i="14"/>
  <c r="D64" i="14"/>
  <c r="G64" i="14"/>
  <c r="X64" i="14"/>
  <c r="AA64" i="14"/>
  <c r="AH64" i="14"/>
  <c r="AK64" i="14"/>
  <c r="AR64" i="14"/>
  <c r="AU64" i="14"/>
  <c r="D65" i="14"/>
  <c r="G65" i="14"/>
  <c r="X65" i="14"/>
  <c r="AA65" i="14"/>
  <c r="AH65" i="14"/>
  <c r="AK65" i="14"/>
  <c r="AR65" i="14"/>
  <c r="AU65" i="14"/>
  <c r="D66" i="14"/>
  <c r="G66" i="14"/>
  <c r="X66" i="14"/>
  <c r="AA66" i="14"/>
  <c r="AH66" i="14"/>
  <c r="AK66" i="14"/>
  <c r="AR66" i="14"/>
  <c r="AU66" i="14"/>
  <c r="D67" i="14"/>
  <c r="G67" i="14"/>
  <c r="X67" i="14"/>
  <c r="AA67" i="14"/>
  <c r="AH67" i="14"/>
  <c r="AK67" i="14"/>
  <c r="AR67" i="14"/>
  <c r="AU67" i="14"/>
  <c r="D68" i="14"/>
  <c r="G68" i="14"/>
  <c r="X68" i="14"/>
  <c r="AA68" i="14"/>
  <c r="AH68" i="14"/>
  <c r="AK68" i="14"/>
  <c r="AR68" i="14"/>
  <c r="AU68" i="14"/>
  <c r="D69" i="14"/>
  <c r="G69" i="14"/>
  <c r="X69" i="14"/>
  <c r="AA69" i="14"/>
  <c r="AH69" i="14"/>
  <c r="AK69" i="14"/>
  <c r="AR69" i="14"/>
  <c r="AU69" i="14"/>
  <c r="D70" i="14"/>
  <c r="G70" i="14"/>
  <c r="X70" i="14"/>
  <c r="AA70" i="14"/>
  <c r="AH70" i="14"/>
  <c r="AK70" i="14"/>
  <c r="AR70" i="14"/>
  <c r="AU70" i="14"/>
  <c r="D71" i="14"/>
  <c r="G71" i="14"/>
  <c r="X71" i="14"/>
  <c r="AA71" i="14"/>
  <c r="AH71" i="14"/>
  <c r="AK71" i="14"/>
  <c r="AR71" i="14"/>
  <c r="AU71" i="14"/>
  <c r="D72" i="14"/>
  <c r="G72" i="14"/>
  <c r="X72" i="14"/>
  <c r="AA72" i="14"/>
  <c r="AH72" i="14"/>
  <c r="AK72" i="14"/>
  <c r="AR72" i="14"/>
  <c r="AU72" i="14"/>
  <c r="D73" i="14"/>
  <c r="G73" i="14"/>
  <c r="X73" i="14"/>
  <c r="AA73" i="14"/>
  <c r="AH73" i="14"/>
  <c r="AK73" i="14"/>
  <c r="AR73" i="14"/>
  <c r="AU73" i="14"/>
  <c r="D74" i="14"/>
  <c r="G74" i="14"/>
  <c r="X74" i="14"/>
  <c r="AA74" i="14"/>
  <c r="AH74" i="14"/>
  <c r="AK74" i="14"/>
  <c r="AR74" i="14"/>
  <c r="AU74" i="14"/>
  <c r="D75" i="14"/>
  <c r="G75" i="14"/>
  <c r="X75" i="14"/>
  <c r="AA75" i="14"/>
  <c r="AH75" i="14"/>
  <c r="AK75" i="14"/>
  <c r="AR75" i="14"/>
  <c r="AU75" i="14"/>
  <c r="D76" i="14"/>
  <c r="G76" i="14"/>
  <c r="X76" i="14"/>
  <c r="AA76" i="14"/>
  <c r="AH76" i="14"/>
  <c r="AK76" i="14"/>
  <c r="AR76" i="14"/>
  <c r="AU76" i="14"/>
  <c r="D77" i="14"/>
  <c r="G77" i="14"/>
  <c r="X77" i="14"/>
  <c r="AA77" i="14"/>
  <c r="AH77" i="14"/>
  <c r="AK77" i="14"/>
  <c r="AR77" i="14"/>
  <c r="AU77" i="14"/>
  <c r="D78" i="14"/>
  <c r="G78" i="14"/>
  <c r="X78" i="14"/>
  <c r="AA78" i="14"/>
  <c r="AH78" i="14"/>
  <c r="AK78" i="14"/>
  <c r="AR78" i="14"/>
  <c r="AU78" i="14"/>
  <c r="D79" i="14"/>
  <c r="G79" i="14"/>
  <c r="X79" i="14"/>
  <c r="AA79" i="14"/>
  <c r="AH79" i="14"/>
  <c r="AK79" i="14"/>
  <c r="AR79" i="14"/>
  <c r="AU79" i="14"/>
  <c r="D80" i="14"/>
  <c r="G80" i="14"/>
  <c r="X80" i="14"/>
  <c r="AA80" i="14"/>
  <c r="AH80" i="14"/>
  <c r="AK80" i="14"/>
  <c r="AR80" i="14"/>
  <c r="AU80" i="14"/>
  <c r="D81" i="14"/>
  <c r="G81" i="14"/>
  <c r="X81" i="14"/>
  <c r="AA81" i="14"/>
  <c r="AH81" i="14"/>
  <c r="AK81" i="14"/>
  <c r="AR81" i="14"/>
  <c r="AU81" i="14"/>
  <c r="D82" i="14"/>
  <c r="G82" i="14"/>
  <c r="X82" i="14"/>
  <c r="AA82" i="14"/>
  <c r="AH82" i="14"/>
  <c r="AK82" i="14"/>
  <c r="AR82" i="14"/>
  <c r="AU82" i="14"/>
  <c r="D83" i="14"/>
  <c r="G83" i="14"/>
  <c r="X83" i="14"/>
  <c r="AA83" i="14"/>
  <c r="AH83" i="14"/>
  <c r="AK83" i="14"/>
  <c r="AR83" i="14"/>
  <c r="AU83" i="14"/>
  <c r="D84" i="14"/>
  <c r="G84" i="14"/>
  <c r="X84" i="14"/>
  <c r="AA84" i="14"/>
  <c r="AH84" i="14"/>
  <c r="AK84" i="14"/>
  <c r="AR84" i="14"/>
  <c r="AU84" i="14"/>
  <c r="D85" i="14"/>
  <c r="G85" i="14"/>
  <c r="X85" i="14"/>
  <c r="AA85" i="14"/>
  <c r="AH85" i="14"/>
  <c r="AK85" i="14"/>
  <c r="AR85" i="14"/>
  <c r="AU85" i="14"/>
  <c r="D86" i="14"/>
  <c r="G86" i="14"/>
  <c r="X86" i="14"/>
  <c r="AA86" i="14"/>
  <c r="AH86" i="14"/>
  <c r="AK86" i="14"/>
  <c r="AR86" i="14"/>
  <c r="AU86" i="14"/>
  <c r="D87" i="14"/>
  <c r="G87" i="14"/>
  <c r="X87" i="14"/>
  <c r="AA87" i="14"/>
  <c r="AH87" i="14"/>
  <c r="AK87" i="14"/>
  <c r="AR87" i="14"/>
  <c r="AU87" i="14"/>
  <c r="D88" i="14"/>
  <c r="G88" i="14"/>
  <c r="X88" i="14"/>
  <c r="AA88" i="14"/>
  <c r="AH88" i="14"/>
  <c r="AK88" i="14"/>
  <c r="AR88" i="14"/>
  <c r="AU88" i="14"/>
  <c r="D89" i="14"/>
  <c r="G89" i="14"/>
  <c r="X89" i="14"/>
  <c r="AA89" i="14"/>
  <c r="AH89" i="14"/>
  <c r="AK89" i="14"/>
  <c r="AR89" i="14"/>
  <c r="AU89" i="14"/>
  <c r="D90" i="14"/>
  <c r="G90" i="14"/>
  <c r="X90" i="14"/>
  <c r="AA90" i="14"/>
  <c r="AH90" i="14"/>
  <c r="AK90" i="14"/>
  <c r="AR90" i="14"/>
  <c r="AU90" i="14"/>
  <c r="D91" i="14"/>
  <c r="G91" i="14"/>
  <c r="X91" i="14"/>
  <c r="AA91" i="14"/>
  <c r="AH91" i="14"/>
  <c r="AK91" i="14"/>
  <c r="AR91" i="14"/>
  <c r="AU91" i="14"/>
  <c r="D92" i="14"/>
  <c r="G92" i="14"/>
  <c r="X92" i="14"/>
  <c r="AA92" i="14"/>
  <c r="AH92" i="14"/>
  <c r="AK92" i="14"/>
  <c r="AR92" i="14"/>
  <c r="AU92" i="14"/>
  <c r="D93" i="14"/>
  <c r="G93" i="14"/>
  <c r="X93" i="14"/>
  <c r="AA93" i="14"/>
  <c r="AH93" i="14"/>
  <c r="AK93" i="14"/>
  <c r="AR93" i="14"/>
  <c r="AU93" i="14"/>
  <c r="D94" i="14"/>
  <c r="G94" i="14"/>
  <c r="X94" i="14"/>
  <c r="AA94" i="14"/>
  <c r="AH94" i="14"/>
  <c r="AK94" i="14"/>
  <c r="AR94" i="14"/>
  <c r="AU94" i="14"/>
  <c r="D95" i="14"/>
  <c r="G95" i="14"/>
  <c r="X95" i="14"/>
  <c r="AA95" i="14"/>
  <c r="AH95" i="14"/>
  <c r="AK95" i="14"/>
  <c r="AR95" i="14"/>
  <c r="AU95" i="14"/>
  <c r="D96" i="14"/>
  <c r="G96" i="14"/>
  <c r="X96" i="14"/>
  <c r="AA96" i="14"/>
  <c r="AH96" i="14"/>
  <c r="AK96" i="14"/>
  <c r="AR96" i="14"/>
  <c r="AU96" i="14"/>
  <c r="D97" i="14"/>
  <c r="G97" i="14"/>
  <c r="X97" i="14"/>
  <c r="AA97" i="14"/>
  <c r="AH97" i="14"/>
  <c r="AK97" i="14"/>
  <c r="AR97" i="14"/>
  <c r="AU97" i="14"/>
  <c r="D98" i="14"/>
  <c r="G98" i="14"/>
  <c r="X98" i="14"/>
  <c r="AA98" i="14"/>
  <c r="AH98" i="14"/>
  <c r="AK98" i="14"/>
  <c r="AR98" i="14"/>
  <c r="AU98" i="14"/>
  <c r="D99" i="14"/>
  <c r="G99" i="14"/>
  <c r="X99" i="14"/>
  <c r="AA99" i="14"/>
  <c r="AH99" i="14"/>
  <c r="AK99" i="14"/>
  <c r="AR99" i="14"/>
  <c r="AU99" i="14"/>
  <c r="D100" i="14"/>
  <c r="G100" i="14"/>
  <c r="X100" i="14"/>
  <c r="AA100" i="14"/>
  <c r="AH100" i="14"/>
  <c r="AK100" i="14"/>
  <c r="AR100" i="14"/>
  <c r="AU100" i="14"/>
  <c r="D101" i="14"/>
  <c r="G101" i="14"/>
  <c r="X101" i="14"/>
  <c r="AA101" i="14"/>
  <c r="AH101" i="14"/>
  <c r="AK101" i="14"/>
  <c r="AR101" i="14"/>
  <c r="AU101" i="14"/>
  <c r="D102" i="14"/>
  <c r="G102" i="14"/>
  <c r="X102" i="14"/>
  <c r="AA102" i="14"/>
  <c r="AH102" i="14"/>
  <c r="AK102" i="14"/>
  <c r="AR102" i="14"/>
  <c r="AU102" i="14"/>
  <c r="D103" i="14"/>
  <c r="G103" i="14"/>
  <c r="X103" i="14"/>
  <c r="AA103" i="14"/>
  <c r="AH103" i="14"/>
  <c r="AK103" i="14"/>
  <c r="AR103" i="14"/>
  <c r="AU103" i="14"/>
  <c r="D104" i="14"/>
  <c r="G104" i="14"/>
  <c r="X104" i="14"/>
  <c r="AA104" i="14"/>
  <c r="AH104" i="14"/>
  <c r="AK104" i="14"/>
  <c r="AR104" i="14"/>
  <c r="AU104" i="14"/>
  <c r="D105" i="14"/>
  <c r="G105" i="14"/>
  <c r="X105" i="14"/>
  <c r="AA105" i="14"/>
  <c r="AH105" i="14"/>
  <c r="AK105" i="14"/>
  <c r="AR105" i="14"/>
  <c r="AU105" i="14"/>
  <c r="D106" i="14"/>
  <c r="G106" i="14"/>
  <c r="X106" i="14"/>
  <c r="AA106" i="14"/>
  <c r="AH106" i="14"/>
  <c r="AK106" i="14"/>
  <c r="AR106" i="14"/>
  <c r="AU106" i="14"/>
  <c r="D107" i="14"/>
  <c r="G107" i="14"/>
  <c r="X107" i="14"/>
  <c r="AA107" i="14"/>
  <c r="AH107" i="14"/>
  <c r="AK107" i="14"/>
  <c r="AR107" i="14"/>
  <c r="AU107" i="14"/>
  <c r="D108" i="14"/>
  <c r="G108" i="14"/>
  <c r="X108" i="14"/>
  <c r="AA108" i="14"/>
  <c r="AH108" i="14"/>
  <c r="AK108" i="14"/>
  <c r="AR108" i="14"/>
  <c r="AU108" i="14"/>
  <c r="D109" i="14"/>
  <c r="G109" i="14"/>
  <c r="X109" i="14"/>
  <c r="AA109" i="14"/>
  <c r="AH109" i="14"/>
  <c r="AK109" i="14"/>
  <c r="AR109" i="14"/>
  <c r="AU109" i="14"/>
  <c r="D110" i="14"/>
  <c r="G110" i="14"/>
  <c r="X110" i="14"/>
  <c r="AA110" i="14"/>
  <c r="AH110" i="14"/>
  <c r="AK110" i="14"/>
  <c r="AR110" i="14"/>
  <c r="AU110" i="14"/>
  <c r="D111" i="14"/>
  <c r="G111" i="14"/>
  <c r="X111" i="14"/>
  <c r="AA111" i="14"/>
  <c r="AH111" i="14"/>
  <c r="AK111" i="14"/>
  <c r="AR111" i="14"/>
  <c r="AU111" i="14"/>
  <c r="D112" i="14"/>
  <c r="G112" i="14"/>
  <c r="X112" i="14"/>
  <c r="AA112" i="14"/>
  <c r="AH112" i="14"/>
  <c r="AK112" i="14"/>
  <c r="AR112" i="14"/>
  <c r="AU112" i="14"/>
  <c r="D113" i="14"/>
  <c r="G113" i="14"/>
  <c r="D11" i="12"/>
  <c r="E11" i="12"/>
  <c r="C33" i="12" s="1"/>
  <c r="D12" i="12"/>
  <c r="E12" i="12"/>
  <c r="D13" i="12"/>
  <c r="E13" i="12"/>
  <c r="H13" i="12" s="1"/>
  <c r="D14" i="12"/>
  <c r="E14" i="12"/>
  <c r="D15" i="12"/>
  <c r="E15" i="12"/>
  <c r="E24" i="12"/>
  <c r="E25" i="12" s="1"/>
  <c r="I40" i="12" s="1"/>
  <c r="C76" i="6"/>
  <c r="D76" i="6"/>
  <c r="E76" i="6"/>
  <c r="F76" i="6"/>
  <c r="G76" i="6"/>
  <c r="H76" i="6"/>
  <c r="I76" i="6"/>
  <c r="J76" i="6"/>
  <c r="K76" i="6"/>
  <c r="B76" i="6"/>
  <c r="D30" i="10"/>
  <c r="E30" i="10"/>
  <c r="F30" i="10"/>
  <c r="G30" i="10"/>
  <c r="H30" i="10"/>
  <c r="I30" i="10"/>
  <c r="J30" i="10"/>
  <c r="K30" i="10"/>
  <c r="L30" i="10"/>
  <c r="D31" i="10"/>
  <c r="E31" i="10"/>
  <c r="F31" i="10"/>
  <c r="G31" i="10"/>
  <c r="H31" i="10"/>
  <c r="I31" i="10"/>
  <c r="J31" i="10"/>
  <c r="K31" i="10"/>
  <c r="L31" i="10"/>
  <c r="D32" i="10"/>
  <c r="E32" i="10"/>
  <c r="F32" i="10"/>
  <c r="G32" i="10"/>
  <c r="H32" i="10"/>
  <c r="I32" i="10"/>
  <c r="J32" i="10"/>
  <c r="K32" i="10"/>
  <c r="L32" i="10"/>
  <c r="C30" i="10"/>
  <c r="C31" i="10"/>
  <c r="C32" i="10"/>
  <c r="D29" i="10"/>
  <c r="E29" i="10"/>
  <c r="F29" i="10"/>
  <c r="G29" i="10"/>
  <c r="H29" i="10"/>
  <c r="I29" i="10"/>
  <c r="J29" i="10"/>
  <c r="K29" i="10"/>
  <c r="L29" i="10"/>
  <c r="C29" i="10"/>
  <c r="D28" i="10"/>
  <c r="E28" i="10"/>
  <c r="F28" i="10"/>
  <c r="G28" i="10"/>
  <c r="H28" i="10"/>
  <c r="I28" i="10"/>
  <c r="J28" i="10"/>
  <c r="K28" i="10"/>
  <c r="L28" i="10"/>
  <c r="C28" i="10"/>
  <c r="L26" i="10"/>
  <c r="K26" i="10"/>
  <c r="J26" i="10"/>
  <c r="I26" i="10"/>
  <c r="H26" i="10"/>
  <c r="G26" i="10"/>
  <c r="F26" i="10"/>
  <c r="E26" i="10"/>
  <c r="D26" i="10"/>
  <c r="C26" i="10"/>
  <c r="D5" i="10"/>
  <c r="E5" i="10"/>
  <c r="F5" i="10"/>
  <c r="G5" i="10"/>
  <c r="H5" i="10"/>
  <c r="I5" i="10"/>
  <c r="J5" i="10"/>
  <c r="K5" i="10"/>
  <c r="L5" i="10"/>
  <c r="C5" i="10"/>
  <c r="B30" i="10"/>
  <c r="B31" i="10"/>
  <c r="B32" i="10"/>
  <c r="B35" i="10"/>
  <c r="B36" i="10"/>
  <c r="B37" i="10"/>
  <c r="B38" i="10"/>
  <c r="B39" i="10"/>
  <c r="B40" i="10"/>
  <c r="B41" i="10"/>
  <c r="B29" i="10"/>
  <c r="B24" i="10"/>
  <c r="B3" i="10"/>
  <c r="D8" i="10"/>
  <c r="E8" i="10"/>
  <c r="F8" i="10"/>
  <c r="G8" i="10"/>
  <c r="H8" i="10"/>
  <c r="I8" i="10"/>
  <c r="J8" i="10"/>
  <c r="K8" i="10"/>
  <c r="L8" i="10"/>
  <c r="D9" i="10"/>
  <c r="E9" i="10"/>
  <c r="F9" i="10"/>
  <c r="G9" i="10"/>
  <c r="H9" i="10"/>
  <c r="I9" i="10"/>
  <c r="J9" i="10"/>
  <c r="K9" i="10"/>
  <c r="L9" i="10"/>
  <c r="D10" i="10"/>
  <c r="E10" i="10"/>
  <c r="F10" i="10"/>
  <c r="G10" i="10"/>
  <c r="H10" i="10"/>
  <c r="I10" i="10"/>
  <c r="J10" i="10"/>
  <c r="K10" i="10"/>
  <c r="L10" i="10"/>
  <c r="D11" i="10"/>
  <c r="E11" i="10"/>
  <c r="F11" i="10"/>
  <c r="G11" i="10"/>
  <c r="H11" i="10"/>
  <c r="I11" i="10"/>
  <c r="J11" i="10"/>
  <c r="K11" i="10"/>
  <c r="L11" i="10"/>
  <c r="D12" i="10"/>
  <c r="E12" i="10"/>
  <c r="F12" i="10"/>
  <c r="G12" i="10"/>
  <c r="H12" i="10"/>
  <c r="I12" i="10"/>
  <c r="J12" i="10"/>
  <c r="K12" i="10"/>
  <c r="L12" i="10"/>
  <c r="D13" i="10"/>
  <c r="E13" i="10"/>
  <c r="F13" i="10"/>
  <c r="G13" i="10"/>
  <c r="H13" i="10"/>
  <c r="I13" i="10"/>
  <c r="J13" i="10"/>
  <c r="K13" i="10"/>
  <c r="L13" i="10"/>
  <c r="D14" i="10"/>
  <c r="E14" i="10"/>
  <c r="F14" i="10"/>
  <c r="G14" i="10"/>
  <c r="H14" i="10"/>
  <c r="I14" i="10"/>
  <c r="J14" i="10"/>
  <c r="K14" i="10"/>
  <c r="L14" i="10"/>
  <c r="D15" i="10"/>
  <c r="E15" i="10"/>
  <c r="F15" i="10"/>
  <c r="G15" i="10"/>
  <c r="H15" i="10"/>
  <c r="I15" i="10"/>
  <c r="J15" i="10"/>
  <c r="K15" i="10"/>
  <c r="L15" i="10"/>
  <c r="D16" i="10"/>
  <c r="E16" i="10"/>
  <c r="F16" i="10"/>
  <c r="G16" i="10"/>
  <c r="H16" i="10"/>
  <c r="I16" i="10"/>
  <c r="J16" i="10"/>
  <c r="K16" i="10"/>
  <c r="L16" i="10"/>
  <c r="D17" i="10"/>
  <c r="E17" i="10"/>
  <c r="F17" i="10"/>
  <c r="G17" i="10"/>
  <c r="H17" i="10"/>
  <c r="I17" i="10"/>
  <c r="J17" i="10"/>
  <c r="K17" i="10"/>
  <c r="L17" i="10"/>
  <c r="D18" i="10"/>
  <c r="E18" i="10"/>
  <c r="F18" i="10"/>
  <c r="G18" i="10"/>
  <c r="H18" i="10"/>
  <c r="I18" i="10"/>
  <c r="J18" i="10"/>
  <c r="K18" i="10"/>
  <c r="L18" i="10"/>
  <c r="D19" i="10"/>
  <c r="E19" i="10"/>
  <c r="F19" i="10"/>
  <c r="G19" i="10"/>
  <c r="H19" i="10"/>
  <c r="I19" i="10"/>
  <c r="J19" i="10"/>
  <c r="K19" i="10"/>
  <c r="L19" i="10"/>
  <c r="D20" i="10"/>
  <c r="E20" i="10"/>
  <c r="F20" i="10"/>
  <c r="G20" i="10"/>
  <c r="H20" i="10"/>
  <c r="I20" i="10"/>
  <c r="J20" i="10"/>
  <c r="K20" i="10"/>
  <c r="L20" i="10"/>
  <c r="D21" i="10"/>
  <c r="E21" i="10"/>
  <c r="F21" i="10"/>
  <c r="G21" i="10"/>
  <c r="H21" i="10"/>
  <c r="I21" i="10"/>
  <c r="J21" i="10"/>
  <c r="K21" i="10"/>
  <c r="L21" i="10"/>
  <c r="C8" i="10"/>
  <c r="C9" i="10"/>
  <c r="C10" i="10"/>
  <c r="C11" i="10"/>
  <c r="C12" i="10"/>
  <c r="C13" i="10"/>
  <c r="C14" i="10"/>
  <c r="C15" i="10"/>
  <c r="C16" i="10"/>
  <c r="C17" i="10"/>
  <c r="C18" i="10"/>
  <c r="C19" i="10"/>
  <c r="C20" i="10"/>
  <c r="C21" i="10"/>
  <c r="D7" i="10"/>
  <c r="E7" i="10"/>
  <c r="F7" i="10"/>
  <c r="G7" i="10"/>
  <c r="H7" i="10"/>
  <c r="I7" i="10"/>
  <c r="J7" i="10"/>
  <c r="K7" i="10"/>
  <c r="L7" i="10"/>
  <c r="C7" i="10"/>
  <c r="B22" i="10"/>
  <c r="B8" i="10"/>
  <c r="B9" i="10"/>
  <c r="B10" i="10"/>
  <c r="B11" i="10"/>
  <c r="B12" i="10"/>
  <c r="B13" i="10"/>
  <c r="B14" i="10"/>
  <c r="B15" i="10"/>
  <c r="B16" i="10"/>
  <c r="B17" i="10"/>
  <c r="B18" i="10"/>
  <c r="B19" i="10"/>
  <c r="B20" i="10"/>
  <c r="B21" i="10"/>
  <c r="B7" i="10"/>
  <c r="E21" i="32" l="1"/>
  <c r="M18" i="32"/>
  <c r="M17" i="32" s="1"/>
  <c r="E18" i="32"/>
  <c r="E17" i="32" s="1"/>
  <c r="E20" i="32"/>
  <c r="F17" i="32"/>
  <c r="F24" i="32"/>
  <c r="E24" i="32"/>
  <c r="E23" i="32" s="1"/>
  <c r="E28" i="32" s="1"/>
  <c r="E30" i="32"/>
  <c r="D30" i="32"/>
  <c r="F30" i="32"/>
  <c r="J23" i="32"/>
  <c r="J20" i="32"/>
  <c r="M20" i="32"/>
  <c r="N17" i="32"/>
  <c r="N24" i="32"/>
  <c r="M24" i="32"/>
  <c r="M23" i="32" s="1"/>
  <c r="M28" i="32" s="1"/>
  <c r="K42" i="17"/>
  <c r="D2" i="24"/>
  <c r="E2" i="24" s="1"/>
  <c r="F2" i="24" s="1"/>
  <c r="G2" i="24" s="1"/>
  <c r="H2" i="24" s="1"/>
  <c r="I2" i="24" s="1"/>
  <c r="I13" i="24" s="1"/>
  <c r="D11" i="29"/>
  <c r="E11" i="29" s="1"/>
  <c r="F11" i="29" s="1"/>
  <c r="G11" i="29" s="1"/>
  <c r="H11" i="29" s="1"/>
  <c r="I11" i="29" s="1"/>
  <c r="I42" i="17"/>
  <c r="H42" i="17"/>
  <c r="J42" i="17"/>
  <c r="G42" i="17"/>
  <c r="G15" i="12"/>
  <c r="H12" i="12"/>
  <c r="J33" i="12"/>
  <c r="G14" i="12"/>
  <c r="J14" i="12" s="1"/>
  <c r="J46" i="17"/>
  <c r="K46" i="17"/>
  <c r="G46" i="17"/>
  <c r="G12" i="12"/>
  <c r="H46" i="17"/>
  <c r="G11" i="12"/>
  <c r="I46" i="17"/>
  <c r="H9" i="24"/>
  <c r="I9" i="24" s="1"/>
  <c r="J24" i="12"/>
  <c r="F12" i="21"/>
  <c r="Q12" i="21" s="1"/>
  <c r="F9" i="21"/>
  <c r="Q9" i="21" s="1"/>
  <c r="F11" i="21"/>
  <c r="Q11" i="21" s="1"/>
  <c r="O32" i="21"/>
  <c r="P32" i="21"/>
  <c r="F16" i="21"/>
  <c r="Q16" i="21" s="1"/>
  <c r="F10" i="21"/>
  <c r="Q10" i="21" s="1"/>
  <c r="O30" i="21"/>
  <c r="P30" i="21"/>
  <c r="F15" i="21"/>
  <c r="F14" i="21"/>
  <c r="H11" i="21"/>
  <c r="F13" i="21"/>
  <c r="I15" i="17"/>
  <c r="G15" i="17"/>
  <c r="I29" i="17"/>
  <c r="I31" i="17" s="1"/>
  <c r="G29" i="17"/>
  <c r="G31" i="17" s="1"/>
  <c r="H9" i="17"/>
  <c r="H17" i="17" s="1"/>
  <c r="J15" i="17"/>
  <c r="J9" i="17"/>
  <c r="J17" i="17" s="1"/>
  <c r="J29" i="17"/>
  <c r="J31" i="17" s="1"/>
  <c r="H29" i="17"/>
  <c r="H31" i="17" s="1"/>
  <c r="K15" i="17"/>
  <c r="K9" i="17"/>
  <c r="K17" i="17" s="1"/>
  <c r="I9" i="17"/>
  <c r="G9" i="17"/>
  <c r="K29" i="17"/>
  <c r="K31" i="17" s="1"/>
  <c r="G13" i="12"/>
  <c r="H14" i="12"/>
  <c r="C32" i="12"/>
  <c r="AN13" i="14"/>
  <c r="I13" i="12"/>
  <c r="I12" i="12"/>
  <c r="J12" i="12" s="1"/>
  <c r="AD13" i="14"/>
  <c r="I11" i="12"/>
  <c r="J13" i="14"/>
  <c r="AX13" i="14"/>
  <c r="I15" i="12"/>
  <c r="J15" i="12" s="1"/>
  <c r="M6" i="14"/>
  <c r="BH13" i="14"/>
  <c r="H15" i="12"/>
  <c r="H11" i="12"/>
  <c r="N20" i="32" l="1"/>
  <c r="N23" i="32"/>
  <c r="N28" i="32" s="1"/>
  <c r="N32" i="32" s="1"/>
  <c r="F23" i="32"/>
  <c r="F28" i="32" s="1"/>
  <c r="F32" i="32" s="1"/>
  <c r="F20" i="32"/>
  <c r="H28" i="32"/>
  <c r="E13" i="24"/>
  <c r="G13" i="24"/>
  <c r="F13" i="24"/>
  <c r="H13" i="24"/>
  <c r="D13" i="24"/>
  <c r="H9" i="21"/>
  <c r="P9" i="21" s="1"/>
  <c r="H12" i="21"/>
  <c r="O12" i="21" s="1"/>
  <c r="J13" i="12"/>
  <c r="F5" i="24"/>
  <c r="E5" i="19"/>
  <c r="E5" i="24"/>
  <c r="D5" i="19"/>
  <c r="D5" i="24"/>
  <c r="I5" i="19"/>
  <c r="I5" i="24"/>
  <c r="H5" i="19"/>
  <c r="H5" i="24"/>
  <c r="G5" i="19"/>
  <c r="G5" i="24"/>
  <c r="F5" i="19"/>
  <c r="H13" i="21"/>
  <c r="Q13" i="21"/>
  <c r="Q24" i="21" s="1"/>
  <c r="O11" i="21"/>
  <c r="P11" i="21"/>
  <c r="H14" i="21"/>
  <c r="Q14" i="21"/>
  <c r="O9" i="21"/>
  <c r="H15" i="21"/>
  <c r="Q15" i="21"/>
  <c r="H10" i="21"/>
  <c r="H16" i="21"/>
  <c r="G17" i="17"/>
  <c r="I17" i="17"/>
  <c r="J43" i="17" s="1"/>
  <c r="H43" i="17"/>
  <c r="J33" i="17"/>
  <c r="K43" i="17"/>
  <c r="H33" i="17"/>
  <c r="I33" i="17"/>
  <c r="I43" i="17"/>
  <c r="K33" i="17"/>
  <c r="G33" i="17"/>
  <c r="C34" i="12"/>
  <c r="D33" i="12" s="1"/>
  <c r="J11" i="12"/>
  <c r="B2" i="8"/>
  <c r="L3" i="8"/>
  <c r="K3" i="8"/>
  <c r="J3" i="8"/>
  <c r="I3" i="8"/>
  <c r="H3" i="8"/>
  <c r="G3" i="8"/>
  <c r="F3" i="8"/>
  <c r="E3" i="8"/>
  <c r="D3" i="8"/>
  <c r="C3" i="8"/>
  <c r="F34" i="32" l="1"/>
  <c r="N8" i="32"/>
  <c r="N34" i="32"/>
  <c r="I28" i="32"/>
  <c r="Q23" i="21"/>
  <c r="Q21" i="21"/>
  <c r="Q22" i="21"/>
  <c r="Q31" i="21" s="1"/>
  <c r="Q29" i="21" s="1"/>
  <c r="Q20" i="21"/>
  <c r="P12" i="21"/>
  <c r="Q19" i="21"/>
  <c r="P15" i="21"/>
  <c r="O15" i="21"/>
  <c r="P10" i="21"/>
  <c r="O10" i="21"/>
  <c r="P16" i="21"/>
  <c r="O16" i="21"/>
  <c r="P14" i="21"/>
  <c r="O14" i="21"/>
  <c r="P13" i="21"/>
  <c r="O13" i="21"/>
  <c r="J49" i="17"/>
  <c r="K49" i="17"/>
  <c r="I49" i="17"/>
  <c r="H49" i="17"/>
  <c r="D32" i="12"/>
  <c r="D36" i="12" s="1"/>
  <c r="J31" i="12"/>
  <c r="J40" i="12"/>
  <c r="L109" i="2"/>
  <c r="K109" i="2"/>
  <c r="J109" i="2"/>
  <c r="I109" i="2"/>
  <c r="H109" i="2"/>
  <c r="G109" i="2"/>
  <c r="F109" i="2"/>
  <c r="E109" i="2"/>
  <c r="D109" i="2"/>
  <c r="C109" i="2"/>
  <c r="L108" i="2"/>
  <c r="K108" i="2"/>
  <c r="J108" i="2"/>
  <c r="I108" i="2"/>
  <c r="H108" i="2"/>
  <c r="G108" i="2"/>
  <c r="F108" i="2"/>
  <c r="E108" i="2"/>
  <c r="D108" i="2"/>
  <c r="C108" i="2"/>
  <c r="L107" i="2"/>
  <c r="K107" i="2"/>
  <c r="J107" i="2"/>
  <c r="I107" i="2"/>
  <c r="H107" i="2"/>
  <c r="G107" i="2"/>
  <c r="F107" i="2"/>
  <c r="E107" i="2"/>
  <c r="D107" i="2"/>
  <c r="C107" i="2"/>
  <c r="L106" i="2"/>
  <c r="K106" i="2"/>
  <c r="J106" i="2"/>
  <c r="I106" i="2"/>
  <c r="H106" i="2"/>
  <c r="G106" i="2"/>
  <c r="F106" i="2"/>
  <c r="E106" i="2"/>
  <c r="D106" i="2"/>
  <c r="C106" i="2"/>
  <c r="L105" i="2"/>
  <c r="K105" i="2"/>
  <c r="J105" i="2"/>
  <c r="I105" i="2"/>
  <c r="H105" i="2"/>
  <c r="G105" i="2"/>
  <c r="F105" i="2"/>
  <c r="E105" i="2"/>
  <c r="D105" i="2"/>
  <c r="C105" i="2"/>
  <c r="L104" i="2"/>
  <c r="K104" i="2"/>
  <c r="J104" i="2"/>
  <c r="I104" i="2"/>
  <c r="H104" i="2"/>
  <c r="G104" i="2"/>
  <c r="F104" i="2"/>
  <c r="E104" i="2"/>
  <c r="D104" i="2"/>
  <c r="C104" i="2"/>
  <c r="L103" i="2"/>
  <c r="K103" i="2"/>
  <c r="J103" i="2"/>
  <c r="I103" i="2"/>
  <c r="H103" i="2"/>
  <c r="G103" i="2"/>
  <c r="F103" i="2"/>
  <c r="E103" i="2"/>
  <c r="D103" i="2"/>
  <c r="C103" i="2"/>
  <c r="L102" i="2"/>
  <c r="K102" i="2"/>
  <c r="J102" i="2"/>
  <c r="I102" i="2"/>
  <c r="H102" i="2"/>
  <c r="G102" i="2"/>
  <c r="F102" i="2"/>
  <c r="E102" i="2"/>
  <c r="D102" i="2"/>
  <c r="C102" i="2"/>
  <c r="L101" i="2"/>
  <c r="K101" i="2"/>
  <c r="J101" i="2"/>
  <c r="I101" i="2"/>
  <c r="H101" i="2"/>
  <c r="G101" i="2"/>
  <c r="F101" i="2"/>
  <c r="E101" i="2"/>
  <c r="D101" i="2"/>
  <c r="C101" i="2"/>
  <c r="L97" i="2"/>
  <c r="K97" i="2"/>
  <c r="J97" i="2"/>
  <c r="I97" i="2"/>
  <c r="H97" i="2"/>
  <c r="G97" i="2"/>
  <c r="F97" i="2"/>
  <c r="E97" i="2"/>
  <c r="D97" i="2"/>
  <c r="L96" i="2"/>
  <c r="K96" i="2"/>
  <c r="J96" i="2"/>
  <c r="I96" i="2"/>
  <c r="H96" i="2"/>
  <c r="G96" i="2"/>
  <c r="F96" i="2"/>
  <c r="E96" i="2"/>
  <c r="D96" i="2"/>
  <c r="L95" i="2"/>
  <c r="K95" i="2"/>
  <c r="J95" i="2"/>
  <c r="I95" i="2"/>
  <c r="H95" i="2"/>
  <c r="G95" i="2"/>
  <c r="F95" i="2"/>
  <c r="E95" i="2"/>
  <c r="D95" i="2"/>
  <c r="L94" i="2"/>
  <c r="K94" i="2"/>
  <c r="J94" i="2"/>
  <c r="I94" i="2"/>
  <c r="H94" i="2"/>
  <c r="G94" i="2"/>
  <c r="F94" i="2"/>
  <c r="E94" i="2"/>
  <c r="D94" i="2"/>
  <c r="L93" i="2"/>
  <c r="K93" i="2"/>
  <c r="J93" i="2"/>
  <c r="I93" i="2"/>
  <c r="H93" i="2"/>
  <c r="G93" i="2"/>
  <c r="F93" i="2"/>
  <c r="E93" i="2"/>
  <c r="D93" i="2"/>
  <c r="L92" i="2"/>
  <c r="K92" i="2"/>
  <c r="J92" i="2"/>
  <c r="I92" i="2"/>
  <c r="H92" i="2"/>
  <c r="G92" i="2"/>
  <c r="F92" i="2"/>
  <c r="E92" i="2"/>
  <c r="D92" i="2"/>
  <c r="L91" i="2"/>
  <c r="K91" i="2"/>
  <c r="J91" i="2"/>
  <c r="I91" i="2"/>
  <c r="H91" i="2"/>
  <c r="G91" i="2"/>
  <c r="F91" i="2"/>
  <c r="E91" i="2"/>
  <c r="D91" i="2"/>
  <c r="L90" i="2"/>
  <c r="K90" i="2"/>
  <c r="J90" i="2"/>
  <c r="I90" i="2"/>
  <c r="H90" i="2"/>
  <c r="G90" i="2"/>
  <c r="F90" i="2"/>
  <c r="E90" i="2"/>
  <c r="D90" i="2"/>
  <c r="L89" i="2"/>
  <c r="K89" i="2"/>
  <c r="J89" i="2"/>
  <c r="I89" i="2"/>
  <c r="H89" i="2"/>
  <c r="G89" i="2"/>
  <c r="F89" i="2"/>
  <c r="E89" i="2"/>
  <c r="D89" i="2"/>
  <c r="L88" i="2"/>
  <c r="K88" i="2"/>
  <c r="J88" i="2"/>
  <c r="I88" i="2"/>
  <c r="H88" i="2"/>
  <c r="G88" i="2"/>
  <c r="F88" i="2"/>
  <c r="E88" i="2"/>
  <c r="D88" i="2"/>
  <c r="L87" i="2"/>
  <c r="K87" i="2"/>
  <c r="J87" i="2"/>
  <c r="I87" i="2"/>
  <c r="H87" i="2"/>
  <c r="G87" i="2"/>
  <c r="F87" i="2"/>
  <c r="E87" i="2"/>
  <c r="D87" i="2"/>
  <c r="L86" i="2"/>
  <c r="K86" i="2"/>
  <c r="J86" i="2"/>
  <c r="I86" i="2"/>
  <c r="H86" i="2"/>
  <c r="G86" i="2"/>
  <c r="F86" i="2"/>
  <c r="E86" i="2"/>
  <c r="D86" i="2"/>
  <c r="C86" i="2"/>
  <c r="C97" i="2"/>
  <c r="C96" i="2"/>
  <c r="C95" i="2"/>
  <c r="C94" i="2"/>
  <c r="C93" i="2"/>
  <c r="C92" i="2"/>
  <c r="C91" i="2"/>
  <c r="C90" i="2"/>
  <c r="C89" i="2"/>
  <c r="C88" i="2"/>
  <c r="C87" i="2"/>
  <c r="L82" i="2"/>
  <c r="K82" i="2"/>
  <c r="J82" i="2"/>
  <c r="I82" i="2"/>
  <c r="H82" i="2"/>
  <c r="G82" i="2"/>
  <c r="F82" i="2"/>
  <c r="E82" i="2"/>
  <c r="D82" i="2"/>
  <c r="L81" i="2"/>
  <c r="K81" i="2"/>
  <c r="J81" i="2"/>
  <c r="I81" i="2"/>
  <c r="H81" i="2"/>
  <c r="G81" i="2"/>
  <c r="F81" i="2"/>
  <c r="E81" i="2"/>
  <c r="D81" i="2"/>
  <c r="L80" i="2"/>
  <c r="K80" i="2"/>
  <c r="J80" i="2"/>
  <c r="I80" i="2"/>
  <c r="H80" i="2"/>
  <c r="G80" i="2"/>
  <c r="F80" i="2"/>
  <c r="E80" i="2"/>
  <c r="D80" i="2"/>
  <c r="L79" i="2"/>
  <c r="K79" i="2"/>
  <c r="J79" i="2"/>
  <c r="I79" i="2"/>
  <c r="H79" i="2"/>
  <c r="G79" i="2"/>
  <c r="F79" i="2"/>
  <c r="E79" i="2"/>
  <c r="D79" i="2"/>
  <c r="L78" i="2"/>
  <c r="K78" i="2"/>
  <c r="J78" i="2"/>
  <c r="I78" i="2"/>
  <c r="H78" i="2"/>
  <c r="G78" i="2"/>
  <c r="F78" i="2"/>
  <c r="E78" i="2"/>
  <c r="D78" i="2"/>
  <c r="L77" i="2"/>
  <c r="K77" i="2"/>
  <c r="J77" i="2"/>
  <c r="I77" i="2"/>
  <c r="H77" i="2"/>
  <c r="G77" i="2"/>
  <c r="F77" i="2"/>
  <c r="E77" i="2"/>
  <c r="D77" i="2"/>
  <c r="L76" i="2"/>
  <c r="K76" i="2"/>
  <c r="J76" i="2"/>
  <c r="I76" i="2"/>
  <c r="H76" i="2"/>
  <c r="G76" i="2"/>
  <c r="F76" i="2"/>
  <c r="E76" i="2"/>
  <c r="D76" i="2"/>
  <c r="L75" i="2"/>
  <c r="K75" i="2"/>
  <c r="J75" i="2"/>
  <c r="I75" i="2"/>
  <c r="H75" i="2"/>
  <c r="G75" i="2"/>
  <c r="F75" i="2"/>
  <c r="E75" i="2"/>
  <c r="D75" i="2"/>
  <c r="C82" i="2"/>
  <c r="C81" i="2"/>
  <c r="C80" i="2"/>
  <c r="C79" i="2"/>
  <c r="C78" i="2"/>
  <c r="C77" i="2"/>
  <c r="C76" i="2"/>
  <c r="C75" i="2"/>
  <c r="L63" i="2"/>
  <c r="K63" i="2"/>
  <c r="J63" i="2"/>
  <c r="I63" i="2"/>
  <c r="H63" i="2"/>
  <c r="G63" i="2"/>
  <c r="F63" i="2"/>
  <c r="E63" i="2"/>
  <c r="D63" i="2"/>
  <c r="C63" i="2"/>
  <c r="L68" i="2"/>
  <c r="K68" i="2"/>
  <c r="J68" i="2"/>
  <c r="I68" i="2"/>
  <c r="H68" i="2"/>
  <c r="G68" i="2"/>
  <c r="F68" i="2"/>
  <c r="E68" i="2"/>
  <c r="D68" i="2"/>
  <c r="L67" i="2"/>
  <c r="K67" i="2"/>
  <c r="J67" i="2"/>
  <c r="I67" i="2"/>
  <c r="H67" i="2"/>
  <c r="G67" i="2"/>
  <c r="F67" i="2"/>
  <c r="E67" i="2"/>
  <c r="D67" i="2"/>
  <c r="L66" i="2"/>
  <c r="K66" i="2"/>
  <c r="J66" i="2"/>
  <c r="I66" i="2"/>
  <c r="H66" i="2"/>
  <c r="G66" i="2"/>
  <c r="F66" i="2"/>
  <c r="E66" i="2"/>
  <c r="D66" i="2"/>
  <c r="C68" i="2"/>
  <c r="C67" i="2"/>
  <c r="C66" i="2"/>
  <c r="L62" i="2"/>
  <c r="K62" i="2"/>
  <c r="J62" i="2"/>
  <c r="I62" i="2"/>
  <c r="H62" i="2"/>
  <c r="G62" i="2"/>
  <c r="F62" i="2"/>
  <c r="E62" i="2"/>
  <c r="D62" i="2"/>
  <c r="L61" i="2"/>
  <c r="K61" i="2"/>
  <c r="J61" i="2"/>
  <c r="I61" i="2"/>
  <c r="H61" i="2"/>
  <c r="G61" i="2"/>
  <c r="F61" i="2"/>
  <c r="E61" i="2"/>
  <c r="D61" i="2"/>
  <c r="C62" i="2"/>
  <c r="C61" i="2"/>
  <c r="L60" i="2"/>
  <c r="K60" i="2"/>
  <c r="J60" i="2"/>
  <c r="I60" i="2"/>
  <c r="H60" i="2"/>
  <c r="G60" i="2"/>
  <c r="F60" i="2"/>
  <c r="E60" i="2"/>
  <c r="D60" i="2"/>
  <c r="C60" i="2"/>
  <c r="L58" i="2"/>
  <c r="K58" i="2"/>
  <c r="J58" i="2"/>
  <c r="I58" i="2"/>
  <c r="H58" i="2"/>
  <c r="G58" i="2"/>
  <c r="F58" i="2"/>
  <c r="E58" i="2"/>
  <c r="D58" i="2"/>
  <c r="L57" i="2"/>
  <c r="K57" i="2"/>
  <c r="J57" i="2"/>
  <c r="I57" i="2"/>
  <c r="H57" i="2"/>
  <c r="G57" i="2"/>
  <c r="F57" i="2"/>
  <c r="E57" i="2"/>
  <c r="D57" i="2"/>
  <c r="L56" i="2"/>
  <c r="K56" i="2"/>
  <c r="J56" i="2"/>
  <c r="I56" i="2"/>
  <c r="H56" i="2"/>
  <c r="G56" i="2"/>
  <c r="F56" i="2"/>
  <c r="E56" i="2"/>
  <c r="D56" i="2"/>
  <c r="L55" i="2"/>
  <c r="K55" i="2"/>
  <c r="J55" i="2"/>
  <c r="I55" i="2"/>
  <c r="H55" i="2"/>
  <c r="G55" i="2"/>
  <c r="F55" i="2"/>
  <c r="E55" i="2"/>
  <c r="D55" i="2"/>
  <c r="C58" i="2"/>
  <c r="C57" i="2"/>
  <c r="C56" i="2"/>
  <c r="C55" i="2"/>
  <c r="L54" i="2"/>
  <c r="K54" i="2"/>
  <c r="J54" i="2"/>
  <c r="I54" i="2"/>
  <c r="E28" i="27" s="1"/>
  <c r="E41" i="27" s="1"/>
  <c r="H54" i="2"/>
  <c r="G54" i="2"/>
  <c r="F54" i="2"/>
  <c r="E54" i="2"/>
  <c r="D54" i="2"/>
  <c r="C54" i="2"/>
  <c r="L47" i="2"/>
  <c r="K47" i="2"/>
  <c r="J47" i="2"/>
  <c r="I47" i="2"/>
  <c r="H47" i="2"/>
  <c r="G47" i="2"/>
  <c r="F47" i="2"/>
  <c r="E47" i="2"/>
  <c r="D47" i="2"/>
  <c r="C47" i="2"/>
  <c r="L42" i="2"/>
  <c r="D22" i="29" s="1"/>
  <c r="K42" i="2"/>
  <c r="J42" i="2"/>
  <c r="I42" i="2"/>
  <c r="H42" i="2"/>
  <c r="G42" i="2"/>
  <c r="F42" i="2"/>
  <c r="E42" i="2"/>
  <c r="D42" i="2"/>
  <c r="C42" i="2"/>
  <c r="L36" i="2"/>
  <c r="K36" i="2"/>
  <c r="J36" i="2"/>
  <c r="I36" i="2"/>
  <c r="H36" i="2"/>
  <c r="G36" i="2"/>
  <c r="F36" i="2"/>
  <c r="E36" i="2"/>
  <c r="D36" i="2"/>
  <c r="C36" i="2"/>
  <c r="D24" i="2"/>
  <c r="E24" i="2"/>
  <c r="F24" i="2"/>
  <c r="G24" i="2"/>
  <c r="H24" i="2"/>
  <c r="I24" i="2"/>
  <c r="J24" i="2"/>
  <c r="K24" i="2"/>
  <c r="L24" i="2"/>
  <c r="C24" i="2"/>
  <c r="D21" i="2"/>
  <c r="E21" i="2"/>
  <c r="F21" i="2"/>
  <c r="G21" i="2"/>
  <c r="H21" i="2"/>
  <c r="I21" i="2"/>
  <c r="J21" i="2"/>
  <c r="K21" i="2"/>
  <c r="L21" i="2"/>
  <c r="C21" i="2"/>
  <c r="D15" i="2"/>
  <c r="E15" i="2"/>
  <c r="F15" i="2"/>
  <c r="G15" i="2"/>
  <c r="H15" i="2"/>
  <c r="I15" i="2"/>
  <c r="J15" i="2"/>
  <c r="K15" i="2"/>
  <c r="L15" i="2"/>
  <c r="C15" i="2"/>
  <c r="D9" i="2"/>
  <c r="D34" i="8" s="1"/>
  <c r="E9" i="2"/>
  <c r="E34" i="8" s="1"/>
  <c r="F9" i="2"/>
  <c r="F34" i="8" s="1"/>
  <c r="G9" i="2"/>
  <c r="G34" i="8" s="1"/>
  <c r="H9" i="2"/>
  <c r="H34" i="8" s="1"/>
  <c r="I9" i="2"/>
  <c r="I34" i="8" s="1"/>
  <c r="J9" i="2"/>
  <c r="J34" i="8" s="1"/>
  <c r="K9" i="2"/>
  <c r="K34" i="8" s="1"/>
  <c r="L9" i="2"/>
  <c r="L34" i="8" s="1"/>
  <c r="C9" i="2"/>
  <c r="C34" i="8" s="1"/>
  <c r="D6" i="2"/>
  <c r="D33" i="8" s="1"/>
  <c r="E6" i="2"/>
  <c r="E33" i="8" s="1"/>
  <c r="F6" i="2"/>
  <c r="F33" i="8" s="1"/>
  <c r="G6" i="2"/>
  <c r="G33" i="8" s="1"/>
  <c r="H6" i="2"/>
  <c r="I6" i="2"/>
  <c r="J6" i="2"/>
  <c r="K6" i="2"/>
  <c r="L6" i="2"/>
  <c r="C6" i="2"/>
  <c r="C33" i="8" s="1"/>
  <c r="L3" i="2"/>
  <c r="J3" i="2"/>
  <c r="K3" i="2"/>
  <c r="D3" i="2"/>
  <c r="E3" i="2"/>
  <c r="F3" i="2"/>
  <c r="G3" i="2"/>
  <c r="H3" i="2"/>
  <c r="I3" i="2"/>
  <c r="C3" i="2"/>
  <c r="B2" i="2"/>
  <c r="J28" i="32" l="1"/>
  <c r="J32" i="32" s="1"/>
  <c r="L31" i="2"/>
  <c r="L33" i="8"/>
  <c r="D13" i="29"/>
  <c r="E13" i="29" s="1"/>
  <c r="J31" i="2"/>
  <c r="J33" i="8"/>
  <c r="I31" i="2"/>
  <c r="I33" i="8"/>
  <c r="H31" i="2"/>
  <c r="H33" i="8"/>
  <c r="E22" i="29"/>
  <c r="H22" i="29"/>
  <c r="F22" i="29"/>
  <c r="I22" i="29"/>
  <c r="G22" i="29"/>
  <c r="K31" i="2"/>
  <c r="K33" i="8"/>
  <c r="Q34" i="21"/>
  <c r="Q36" i="21" s="1"/>
  <c r="O22" i="21"/>
  <c r="O29" i="21" s="1"/>
  <c r="O31" i="21" s="1"/>
  <c r="O34" i="21" s="1"/>
  <c r="O36" i="21" s="1"/>
  <c r="O19" i="21"/>
  <c r="O24" i="21"/>
  <c r="O21" i="21"/>
  <c r="O23" i="21"/>
  <c r="O20" i="21"/>
  <c r="P19" i="21"/>
  <c r="P24" i="21"/>
  <c r="P20" i="21"/>
  <c r="P21" i="21"/>
  <c r="P23" i="21"/>
  <c r="P22" i="21"/>
  <c r="P29" i="21" s="1"/>
  <c r="P31" i="21" s="1"/>
  <c r="P34" i="21" s="1"/>
  <c r="P36" i="21" s="1"/>
  <c r="D28" i="27"/>
  <c r="D41" i="27" s="1"/>
  <c r="F28" i="27"/>
  <c r="F41" i="27" s="1"/>
  <c r="H28" i="27"/>
  <c r="H41" i="27" s="1"/>
  <c r="G28" i="27"/>
  <c r="G41" i="27" s="1"/>
  <c r="G29" i="8"/>
  <c r="G31" i="2"/>
  <c r="F29" i="8"/>
  <c r="F31" i="2"/>
  <c r="D29" i="8"/>
  <c r="D31" i="2"/>
  <c r="C29" i="8"/>
  <c r="C31" i="2"/>
  <c r="E29" i="8"/>
  <c r="E31" i="2"/>
  <c r="H10" i="2"/>
  <c r="F10" i="2"/>
  <c r="D19" i="25"/>
  <c r="E33" i="27"/>
  <c r="I29" i="8"/>
  <c r="D33" i="25" s="1"/>
  <c r="F18" i="25"/>
  <c r="F30" i="25" s="1"/>
  <c r="G4" i="27"/>
  <c r="C19" i="25"/>
  <c r="D33" i="27"/>
  <c r="H29" i="8"/>
  <c r="C33" i="25" s="1"/>
  <c r="E18" i="25"/>
  <c r="E30" i="25" s="1"/>
  <c r="F4" i="27"/>
  <c r="E19" i="25"/>
  <c r="J29" i="8"/>
  <c r="E33" i="25" s="1"/>
  <c r="F33" i="27"/>
  <c r="D18" i="25"/>
  <c r="D30" i="25" s="1"/>
  <c r="E4" i="27"/>
  <c r="G18" i="25"/>
  <c r="G30" i="25" s="1"/>
  <c r="H4" i="27"/>
  <c r="G19" i="25"/>
  <c r="L29" i="8"/>
  <c r="G33" i="25" s="1"/>
  <c r="H33" i="27"/>
  <c r="C18" i="25"/>
  <c r="C30" i="25" s="1"/>
  <c r="D4" i="27"/>
  <c r="F19" i="25"/>
  <c r="K29" i="8"/>
  <c r="F33" i="25" s="1"/>
  <c r="G33" i="27"/>
  <c r="F64" i="2"/>
  <c r="G69" i="2"/>
  <c r="L10" i="2"/>
  <c r="K10" i="2"/>
  <c r="H64" i="2"/>
  <c r="J10" i="2"/>
  <c r="I64" i="2"/>
  <c r="J69" i="2"/>
  <c r="J64" i="2"/>
  <c r="K69" i="2"/>
  <c r="C110" i="2"/>
  <c r="E98" i="2"/>
  <c r="D98" i="2"/>
  <c r="L98" i="2"/>
  <c r="H110" i="2"/>
  <c r="I110" i="2"/>
  <c r="J83" i="2"/>
  <c r="J44" i="8" s="1"/>
  <c r="G110" i="2"/>
  <c r="H98" i="2"/>
  <c r="E110" i="2"/>
  <c r="K110" i="2"/>
  <c r="I83" i="2"/>
  <c r="I46" i="8" s="1"/>
  <c r="F110" i="2"/>
  <c r="D110" i="2"/>
  <c r="L110" i="2"/>
  <c r="K98" i="2"/>
  <c r="J110" i="2"/>
  <c r="D34" i="12"/>
  <c r="E34" i="12" s="1"/>
  <c r="E33" i="12" s="1"/>
  <c r="J41" i="12" s="1"/>
  <c r="I32" i="8"/>
  <c r="I39" i="8" s="1"/>
  <c r="I41" i="8"/>
  <c r="I36" i="8"/>
  <c r="I40" i="8"/>
  <c r="I35" i="8"/>
  <c r="I12" i="2"/>
  <c r="I13" i="2" s="1"/>
  <c r="I7" i="2"/>
  <c r="H32" i="8"/>
  <c r="H39" i="8" s="1"/>
  <c r="H41" i="8"/>
  <c r="H36" i="8"/>
  <c r="H40" i="8"/>
  <c r="H35" i="8"/>
  <c r="H12" i="2"/>
  <c r="H13" i="2" s="1"/>
  <c r="H7" i="2"/>
  <c r="F16" i="2"/>
  <c r="F17" i="8" s="1"/>
  <c r="I22" i="2"/>
  <c r="L25" i="2"/>
  <c r="L18" i="8" s="1"/>
  <c r="D25" i="2"/>
  <c r="D18" i="8" s="1"/>
  <c r="F69" i="2"/>
  <c r="G32" i="8"/>
  <c r="G39" i="8" s="1"/>
  <c r="G41" i="8"/>
  <c r="G36" i="8"/>
  <c r="G40" i="8"/>
  <c r="G35" i="8"/>
  <c r="G12" i="2"/>
  <c r="G13" i="2" s="1"/>
  <c r="G11" i="8" s="1"/>
  <c r="G7" i="2"/>
  <c r="G5" i="8" s="1"/>
  <c r="C16" i="2"/>
  <c r="C17" i="8" s="1"/>
  <c r="E16" i="2"/>
  <c r="E17" i="8" s="1"/>
  <c r="H22" i="2"/>
  <c r="K25" i="2"/>
  <c r="K18" i="8" s="1"/>
  <c r="G64" i="2"/>
  <c r="J46" i="8"/>
  <c r="J98" i="2"/>
  <c r="I98" i="2"/>
  <c r="F40" i="8"/>
  <c r="F35" i="8"/>
  <c r="F32" i="8"/>
  <c r="F39" i="8" s="1"/>
  <c r="F41" i="8"/>
  <c r="F36" i="8"/>
  <c r="F7" i="2"/>
  <c r="F5" i="8" s="1"/>
  <c r="F12" i="2"/>
  <c r="F13" i="2" s="1"/>
  <c r="F11" i="8" s="1"/>
  <c r="I10" i="2"/>
  <c r="L16" i="2"/>
  <c r="L17" i="8" s="1"/>
  <c r="D16" i="2"/>
  <c r="D17" i="8" s="1"/>
  <c r="G22" i="2"/>
  <c r="J25" i="2"/>
  <c r="J18" i="8" s="1"/>
  <c r="H69" i="2"/>
  <c r="H71" i="2" s="1"/>
  <c r="F98" i="2"/>
  <c r="K16" i="2"/>
  <c r="K17" i="8" s="1"/>
  <c r="F22" i="2"/>
  <c r="I25" i="2"/>
  <c r="I18" i="8" s="1"/>
  <c r="F48" i="2"/>
  <c r="C69" i="2"/>
  <c r="I69" i="2"/>
  <c r="G98" i="2"/>
  <c r="L36" i="8"/>
  <c r="L41" i="8"/>
  <c r="L7" i="2"/>
  <c r="L32" i="8"/>
  <c r="L39" i="8" s="1"/>
  <c r="L35" i="8"/>
  <c r="L12" i="2"/>
  <c r="L13" i="2" s="1"/>
  <c r="L40" i="8"/>
  <c r="G10" i="2"/>
  <c r="J16" i="2"/>
  <c r="J17" i="8" s="1"/>
  <c r="C22" i="2"/>
  <c r="E22" i="2"/>
  <c r="H25" i="2"/>
  <c r="H18" i="8" s="1"/>
  <c r="C83" i="2"/>
  <c r="E83" i="2"/>
  <c r="K83" i="2"/>
  <c r="C98" i="2"/>
  <c r="I16" i="2"/>
  <c r="I17" i="8" s="1"/>
  <c r="L22" i="2"/>
  <c r="D22" i="2"/>
  <c r="G25" i="2"/>
  <c r="G18" i="8" s="1"/>
  <c r="C64" i="2"/>
  <c r="K64" i="2"/>
  <c r="K71" i="2" s="1"/>
  <c r="F83" i="2"/>
  <c r="D83" i="2"/>
  <c r="L83" i="2"/>
  <c r="C36" i="8"/>
  <c r="C35" i="8"/>
  <c r="C32" i="8"/>
  <c r="C12" i="2"/>
  <c r="C13" i="2" s="1"/>
  <c r="C11" i="8" s="1"/>
  <c r="E32" i="8"/>
  <c r="E39" i="8" s="1"/>
  <c r="E35" i="8"/>
  <c r="E7" i="2"/>
  <c r="E5" i="8" s="1"/>
  <c r="E40" i="8"/>
  <c r="E36" i="8"/>
  <c r="E12" i="2"/>
  <c r="E13" i="2" s="1"/>
  <c r="E11" i="8" s="1"/>
  <c r="E41" i="8"/>
  <c r="D32" i="8"/>
  <c r="D39" i="8" s="1"/>
  <c r="D35" i="8"/>
  <c r="D12" i="2"/>
  <c r="D13" i="2" s="1"/>
  <c r="D11" i="8" s="1"/>
  <c r="D7" i="2"/>
  <c r="D5" i="8" s="1"/>
  <c r="D36" i="8"/>
  <c r="D40" i="8"/>
  <c r="D41" i="8"/>
  <c r="K40" i="8"/>
  <c r="K36" i="8"/>
  <c r="K7" i="2"/>
  <c r="K41" i="8"/>
  <c r="K32" i="8"/>
  <c r="K39" i="8" s="1"/>
  <c r="K12" i="2"/>
  <c r="K13" i="2" s="1"/>
  <c r="K35" i="8"/>
  <c r="J35" i="8"/>
  <c r="J40" i="8"/>
  <c r="J36" i="8"/>
  <c r="J7" i="2"/>
  <c r="J41" i="8"/>
  <c r="J32" i="8"/>
  <c r="J39" i="8" s="1"/>
  <c r="J12" i="2"/>
  <c r="J13" i="2" s="1"/>
  <c r="C10" i="2"/>
  <c r="E10" i="2"/>
  <c r="H16" i="2"/>
  <c r="H17" i="8" s="1"/>
  <c r="K22" i="2"/>
  <c r="F25" i="2"/>
  <c r="F18" i="8" s="1"/>
  <c r="D64" i="2"/>
  <c r="L64" i="2"/>
  <c r="D69" i="2"/>
  <c r="L69" i="2"/>
  <c r="G83" i="2"/>
  <c r="D10" i="2"/>
  <c r="G16" i="2"/>
  <c r="G17" i="8" s="1"/>
  <c r="J22" i="2"/>
  <c r="C25" i="2"/>
  <c r="C18" i="8" s="1"/>
  <c r="E25" i="2"/>
  <c r="E18" i="8" s="1"/>
  <c r="E64" i="2"/>
  <c r="E69" i="2"/>
  <c r="H83" i="2"/>
  <c r="H48" i="2"/>
  <c r="K48" i="2"/>
  <c r="L48" i="2"/>
  <c r="E48" i="2"/>
  <c r="C48" i="2"/>
  <c r="D48" i="2"/>
  <c r="I48" i="2"/>
  <c r="J48" i="2"/>
  <c r="E27" i="25" s="1"/>
  <c r="G48" i="2"/>
  <c r="J34" i="32" l="1"/>
  <c r="N6" i="32"/>
  <c r="N7" i="32" s="1"/>
  <c r="F13" i="29"/>
  <c r="E16" i="29"/>
  <c r="E19" i="29"/>
  <c r="E24" i="29" s="1"/>
  <c r="E28" i="29" s="1"/>
  <c r="G71" i="2"/>
  <c r="G34" i="10" s="1"/>
  <c r="I71" i="2"/>
  <c r="E37" i="27" s="1"/>
  <c r="N29" i="8"/>
  <c r="F71" i="2"/>
  <c r="F37" i="10" s="1"/>
  <c r="I112" i="2"/>
  <c r="H34" i="10"/>
  <c r="H54" i="27"/>
  <c r="H36" i="27"/>
  <c r="D36" i="27"/>
  <c r="D54" i="27"/>
  <c r="I34" i="10"/>
  <c r="E9" i="8"/>
  <c r="K34" i="10"/>
  <c r="F36" i="27"/>
  <c r="F54" i="27"/>
  <c r="G36" i="27"/>
  <c r="G54" i="27"/>
  <c r="E42" i="8"/>
  <c r="O29" i="8"/>
  <c r="E36" i="27"/>
  <c r="E54" i="27"/>
  <c r="I44" i="8"/>
  <c r="G42" i="8"/>
  <c r="L11" i="8"/>
  <c r="G21" i="25"/>
  <c r="L9" i="8"/>
  <c r="G27" i="25"/>
  <c r="J11" i="8"/>
  <c r="E21" i="25"/>
  <c r="F9" i="8"/>
  <c r="F39" i="10"/>
  <c r="G36" i="10"/>
  <c r="J71" i="2"/>
  <c r="G40" i="10"/>
  <c r="K37" i="10"/>
  <c r="K9" i="8"/>
  <c r="F27" i="25"/>
  <c r="F28" i="25" s="1"/>
  <c r="H37" i="10"/>
  <c r="K39" i="10"/>
  <c r="H35" i="10"/>
  <c r="H39" i="10"/>
  <c r="K36" i="10"/>
  <c r="K41" i="10"/>
  <c r="K11" i="8"/>
  <c r="F21" i="25"/>
  <c r="L5" i="8"/>
  <c r="G20" i="25"/>
  <c r="K38" i="10"/>
  <c r="I5" i="8"/>
  <c r="D20" i="25"/>
  <c r="G35" i="10"/>
  <c r="F35" i="10"/>
  <c r="C28" i="25"/>
  <c r="C27" i="25"/>
  <c r="J5" i="8"/>
  <c r="E20" i="25"/>
  <c r="I9" i="8"/>
  <c r="D27" i="25"/>
  <c r="E28" i="25" s="1"/>
  <c r="H5" i="8"/>
  <c r="C20" i="25"/>
  <c r="I11" i="8"/>
  <c r="D21" i="25"/>
  <c r="K5" i="8"/>
  <c r="F20" i="25"/>
  <c r="H11" i="8"/>
  <c r="C21" i="25"/>
  <c r="H38" i="10"/>
  <c r="G37" i="10"/>
  <c r="H36" i="10"/>
  <c r="H41" i="10"/>
  <c r="G41" i="10"/>
  <c r="F40" i="10"/>
  <c r="H42" i="8"/>
  <c r="K40" i="10"/>
  <c r="G38" i="10"/>
  <c r="K35" i="10"/>
  <c r="I40" i="10"/>
  <c r="H40" i="10"/>
  <c r="G39" i="10"/>
  <c r="E36" i="12"/>
  <c r="J32" i="12" s="1"/>
  <c r="J34" i="12" s="1"/>
  <c r="J25" i="12" s="1"/>
  <c r="J26" i="12" s="1"/>
  <c r="I41" i="12" s="1"/>
  <c r="J42" i="12" s="1"/>
  <c r="C15" i="19" s="1"/>
  <c r="J112" i="2"/>
  <c r="H112" i="2"/>
  <c r="G112" i="2"/>
  <c r="N35" i="8"/>
  <c r="O35" i="8"/>
  <c r="F112" i="2"/>
  <c r="F46" i="8"/>
  <c r="F45" i="8"/>
  <c r="F44" i="8"/>
  <c r="D71" i="2"/>
  <c r="K112" i="2"/>
  <c r="K45" i="8"/>
  <c r="K46" i="8"/>
  <c r="K44" i="8"/>
  <c r="L42" i="8"/>
  <c r="N17" i="8"/>
  <c r="O17" i="8"/>
  <c r="D9" i="8"/>
  <c r="K42" i="8"/>
  <c r="C39" i="8"/>
  <c r="N32" i="8"/>
  <c r="O32" i="8"/>
  <c r="E112" i="2"/>
  <c r="E46" i="8"/>
  <c r="E44" i="8"/>
  <c r="C71" i="2"/>
  <c r="O18" i="8"/>
  <c r="N18" i="8"/>
  <c r="D42" i="8"/>
  <c r="C41" i="8"/>
  <c r="O34" i="8"/>
  <c r="N34" i="8"/>
  <c r="F42" i="8"/>
  <c r="N36" i="8"/>
  <c r="O36" i="8"/>
  <c r="C40" i="8"/>
  <c r="O33" i="8"/>
  <c r="N33" i="8"/>
  <c r="C112" i="2"/>
  <c r="C44" i="8"/>
  <c r="C46" i="8"/>
  <c r="L112" i="2"/>
  <c r="L46" i="8"/>
  <c r="L44" i="8"/>
  <c r="I42" i="8"/>
  <c r="G9" i="8"/>
  <c r="H45" i="8"/>
  <c r="H44" i="8"/>
  <c r="H46" i="8"/>
  <c r="G46" i="8"/>
  <c r="G45" i="8"/>
  <c r="G44" i="8"/>
  <c r="J42" i="8"/>
  <c r="J9" i="8"/>
  <c r="H9" i="8"/>
  <c r="E71" i="2"/>
  <c r="E45" i="8" s="1"/>
  <c r="L71" i="2"/>
  <c r="H37" i="27" s="1"/>
  <c r="D112" i="2"/>
  <c r="D46" i="8"/>
  <c r="D44" i="8"/>
  <c r="J18" i="2"/>
  <c r="J27" i="2" s="1"/>
  <c r="L18" i="2"/>
  <c r="D16" i="29" s="1"/>
  <c r="E18" i="2"/>
  <c r="E27" i="2" s="1"/>
  <c r="I18" i="2"/>
  <c r="I27" i="2" s="1"/>
  <c r="G18" i="2"/>
  <c r="G27" i="2" s="1"/>
  <c r="F18" i="2"/>
  <c r="F27" i="2" s="1"/>
  <c r="H18" i="2"/>
  <c r="H27" i="2" s="1"/>
  <c r="K18" i="2"/>
  <c r="K27" i="2" s="1"/>
  <c r="C18" i="2"/>
  <c r="C27" i="2" s="1"/>
  <c r="D18" i="2"/>
  <c r="D27" i="2" s="1"/>
  <c r="D37" i="29" l="1"/>
  <c r="G38" i="29"/>
  <c r="E40" i="29"/>
  <c r="D36" i="29"/>
  <c r="E36" i="29"/>
  <c r="F36" i="29"/>
  <c r="F38" i="29"/>
  <c r="H36" i="29"/>
  <c r="E37" i="29"/>
  <c r="H38" i="29"/>
  <c r="F40" i="29"/>
  <c r="G37" i="29"/>
  <c r="E39" i="29"/>
  <c r="H40" i="29"/>
  <c r="H37" i="29"/>
  <c r="D38" i="29"/>
  <c r="F37" i="29"/>
  <c r="D39" i="29"/>
  <c r="G40" i="29"/>
  <c r="F39" i="29"/>
  <c r="G39" i="29"/>
  <c r="E38" i="29"/>
  <c r="H39" i="29"/>
  <c r="G36" i="29"/>
  <c r="D40" i="29"/>
  <c r="F38" i="10"/>
  <c r="F41" i="10"/>
  <c r="I35" i="10"/>
  <c r="F16" i="29"/>
  <c r="G13" i="29"/>
  <c r="F19" i="29"/>
  <c r="F24" i="29" s="1"/>
  <c r="F28" i="29" s="1"/>
  <c r="I45" i="8"/>
  <c r="I37" i="10"/>
  <c r="F37" i="27"/>
  <c r="I39" i="10"/>
  <c r="I36" i="10"/>
  <c r="I38" i="10"/>
  <c r="I41" i="10"/>
  <c r="G37" i="27"/>
  <c r="G40" i="27" s="1"/>
  <c r="G42" i="27" s="1"/>
  <c r="D37" i="27"/>
  <c r="D40" i="27" s="1"/>
  <c r="D42" i="27" s="1"/>
  <c r="E28" i="2"/>
  <c r="E33" i="2"/>
  <c r="G28" i="2"/>
  <c r="G33" i="2"/>
  <c r="D33" i="2"/>
  <c r="D28" i="2"/>
  <c r="J33" i="2"/>
  <c r="J28" i="2"/>
  <c r="F28" i="2"/>
  <c r="F33" i="2"/>
  <c r="I28" i="2"/>
  <c r="I33" i="2"/>
  <c r="H34" i="17" s="1"/>
  <c r="C33" i="2"/>
  <c r="C28" i="2"/>
  <c r="K33" i="2"/>
  <c r="K28" i="2"/>
  <c r="L28" i="8"/>
  <c r="G32" i="25" s="1"/>
  <c r="L27" i="2"/>
  <c r="H28" i="2"/>
  <c r="H33" i="2"/>
  <c r="F34" i="10"/>
  <c r="F36" i="10"/>
  <c r="E35" i="6"/>
  <c r="F22" i="10" s="1"/>
  <c r="F28" i="8"/>
  <c r="E40" i="27"/>
  <c r="E42" i="27" s="1"/>
  <c r="E49" i="27"/>
  <c r="E58" i="27"/>
  <c r="F35" i="6"/>
  <c r="G22" i="10" s="1"/>
  <c r="G28" i="8"/>
  <c r="G57" i="27"/>
  <c r="G38" i="27"/>
  <c r="G59" i="27" s="1"/>
  <c r="H35" i="6"/>
  <c r="I22" i="10" s="1"/>
  <c r="I28" i="8"/>
  <c r="D32" i="25" s="1"/>
  <c r="D35" i="6"/>
  <c r="E22" i="10" s="1"/>
  <c r="E28" i="8"/>
  <c r="F38" i="27"/>
  <c r="F59" i="27" s="1"/>
  <c r="F57" i="27"/>
  <c r="D57" i="27"/>
  <c r="H57" i="27"/>
  <c r="H38" i="27"/>
  <c r="H59" i="27" s="1"/>
  <c r="O11" i="8"/>
  <c r="F40" i="27"/>
  <c r="F42" i="27" s="1"/>
  <c r="F49" i="27"/>
  <c r="F58" i="27"/>
  <c r="E57" i="27"/>
  <c r="E38" i="27"/>
  <c r="E59" i="27" s="1"/>
  <c r="G58" i="27"/>
  <c r="C35" i="6"/>
  <c r="D22" i="10" s="1"/>
  <c r="D28" i="8"/>
  <c r="H40" i="27"/>
  <c r="H42" i="27" s="1"/>
  <c r="H49" i="27"/>
  <c r="H58" i="27"/>
  <c r="B35" i="6"/>
  <c r="C22" i="10" s="1"/>
  <c r="C28" i="8"/>
  <c r="I35" i="6"/>
  <c r="J22" i="10" s="1"/>
  <c r="J28" i="8"/>
  <c r="E32" i="25" s="1"/>
  <c r="G28" i="25"/>
  <c r="D58" i="27"/>
  <c r="J35" i="6"/>
  <c r="K22" i="10" s="1"/>
  <c r="K28" i="8"/>
  <c r="F32" i="25" s="1"/>
  <c r="G35" i="6"/>
  <c r="H22" i="10" s="1"/>
  <c r="H28" i="8"/>
  <c r="C32" i="25" s="1"/>
  <c r="O5" i="8"/>
  <c r="N11" i="8"/>
  <c r="N5" i="8"/>
  <c r="D34" i="10"/>
  <c r="D38" i="10"/>
  <c r="D41" i="10"/>
  <c r="D35" i="10"/>
  <c r="D40" i="10"/>
  <c r="D36" i="10"/>
  <c r="D39" i="10"/>
  <c r="D37" i="10"/>
  <c r="L45" i="8"/>
  <c r="L34" i="10"/>
  <c r="L37" i="10"/>
  <c r="L38" i="10"/>
  <c r="L41" i="10"/>
  <c r="L35" i="10"/>
  <c r="L40" i="10"/>
  <c r="L36" i="10"/>
  <c r="L39" i="10"/>
  <c r="J34" i="10"/>
  <c r="J36" i="10"/>
  <c r="J41" i="10"/>
  <c r="J45" i="8"/>
  <c r="J38" i="10"/>
  <c r="J35" i="10"/>
  <c r="J37" i="10"/>
  <c r="J40" i="10"/>
  <c r="J39" i="10"/>
  <c r="K35" i="6"/>
  <c r="L22" i="10" s="1"/>
  <c r="D15" i="24"/>
  <c r="E15" i="24" s="1"/>
  <c r="F15" i="24" s="1"/>
  <c r="G15" i="24" s="1"/>
  <c r="H15" i="24" s="1"/>
  <c r="I15" i="24" s="1"/>
  <c r="I17" i="24" s="1"/>
  <c r="E34" i="10"/>
  <c r="E35" i="10"/>
  <c r="E40" i="10"/>
  <c r="E39" i="10"/>
  <c r="E41" i="10"/>
  <c r="E38" i="10"/>
  <c r="E37" i="10"/>
  <c r="E36" i="10"/>
  <c r="C45" i="8"/>
  <c r="C34" i="10"/>
  <c r="C36" i="10"/>
  <c r="C38" i="10"/>
  <c r="C41" i="10"/>
  <c r="C37" i="10"/>
  <c r="C40" i="10"/>
  <c r="C39" i="10"/>
  <c r="C35" i="10"/>
  <c r="D28" i="25"/>
  <c r="D45" i="8"/>
  <c r="C20" i="19"/>
  <c r="I10" i="19"/>
  <c r="G10" i="19"/>
  <c r="E10" i="19"/>
  <c r="F10" i="19"/>
  <c r="H10" i="19"/>
  <c r="C22" i="24"/>
  <c r="E19" i="2"/>
  <c r="E12" i="8" s="1"/>
  <c r="E25" i="8"/>
  <c r="E6" i="8"/>
  <c r="E21" i="8"/>
  <c r="E13" i="8"/>
  <c r="E19" i="8" s="1"/>
  <c r="D19" i="2"/>
  <c r="D12" i="8" s="1"/>
  <c r="D13" i="8"/>
  <c r="D19" i="8" s="1"/>
  <c r="D25" i="8"/>
  <c r="D6" i="8"/>
  <c r="D21" i="8"/>
  <c r="L19" i="2"/>
  <c r="D17" i="29" s="1"/>
  <c r="L13" i="8"/>
  <c r="L6" i="8"/>
  <c r="L25" i="8"/>
  <c r="L21" i="8"/>
  <c r="G36" i="25" s="1"/>
  <c r="C19" i="2"/>
  <c r="C12" i="8" s="1"/>
  <c r="C21" i="8"/>
  <c r="C25" i="8"/>
  <c r="C13" i="8"/>
  <c r="J19" i="2"/>
  <c r="J25" i="8"/>
  <c r="J21" i="8"/>
  <c r="E36" i="25" s="1"/>
  <c r="J13" i="8"/>
  <c r="J6" i="8"/>
  <c r="K19" i="2"/>
  <c r="K25" i="8"/>
  <c r="K13" i="8"/>
  <c r="K6" i="8"/>
  <c r="K21" i="8"/>
  <c r="F36" i="25" s="1"/>
  <c r="H19" i="2"/>
  <c r="H25" i="8"/>
  <c r="H21" i="8"/>
  <c r="C36" i="25" s="1"/>
  <c r="H13" i="8"/>
  <c r="H6" i="8"/>
  <c r="N40" i="8"/>
  <c r="O40" i="8"/>
  <c r="C42" i="8"/>
  <c r="N41" i="8"/>
  <c r="O41" i="8"/>
  <c r="O44" i="8"/>
  <c r="N44" i="8"/>
  <c r="F19" i="2"/>
  <c r="F12" i="8" s="1"/>
  <c r="F25" i="8"/>
  <c r="F6" i="8"/>
  <c r="F21" i="8"/>
  <c r="F13" i="8"/>
  <c r="F19" i="8" s="1"/>
  <c r="G19" i="2"/>
  <c r="G12" i="8" s="1"/>
  <c r="G25" i="8"/>
  <c r="G21" i="8"/>
  <c r="G13" i="8"/>
  <c r="G19" i="8" s="1"/>
  <c r="G6" i="8"/>
  <c r="I19" i="2"/>
  <c r="I25" i="8"/>
  <c r="I21" i="8"/>
  <c r="D36" i="25" s="1"/>
  <c r="I13" i="8"/>
  <c r="I6" i="8"/>
  <c r="N46" i="8"/>
  <c r="O46" i="8"/>
  <c r="N39" i="8"/>
  <c r="O39" i="8"/>
  <c r="O9" i="8"/>
  <c r="N9" i="8"/>
  <c r="J34" i="17"/>
  <c r="G10" i="24" l="1"/>
  <c r="F29" i="24"/>
  <c r="F30" i="29"/>
  <c r="H4" i="29"/>
  <c r="D38" i="27"/>
  <c r="D59" i="27" s="1"/>
  <c r="G16" i="29"/>
  <c r="G19" i="29"/>
  <c r="G24" i="29" s="1"/>
  <c r="G28" i="29" s="1"/>
  <c r="H13" i="29"/>
  <c r="D49" i="27"/>
  <c r="G49" i="27"/>
  <c r="L33" i="2"/>
  <c r="K34" i="17" s="1"/>
  <c r="L28" i="2"/>
  <c r="O28" i="8"/>
  <c r="N28" i="8"/>
  <c r="E7" i="8"/>
  <c r="O45" i="8"/>
  <c r="N45" i="8"/>
  <c r="I12" i="8"/>
  <c r="D22" i="25"/>
  <c r="J12" i="8"/>
  <c r="E22" i="25"/>
  <c r="L19" i="8"/>
  <c r="G23" i="25"/>
  <c r="K19" i="8"/>
  <c r="F23" i="25"/>
  <c r="L12" i="8"/>
  <c r="G22" i="25"/>
  <c r="K12" i="8"/>
  <c r="F22" i="25"/>
  <c r="H45" i="17"/>
  <c r="H47" i="17" s="1"/>
  <c r="H51" i="17" s="1"/>
  <c r="H36" i="17"/>
  <c r="H59" i="17" s="1"/>
  <c r="H7" i="8"/>
  <c r="G34" i="17"/>
  <c r="H19" i="8"/>
  <c r="C23" i="25"/>
  <c r="J7" i="8"/>
  <c r="I34" i="17"/>
  <c r="J45" i="17"/>
  <c r="J47" i="17" s="1"/>
  <c r="J51" i="17" s="1"/>
  <c r="J58" i="17" s="1"/>
  <c r="J36" i="17"/>
  <c r="J59" i="17" s="1"/>
  <c r="I19" i="8"/>
  <c r="D23" i="25"/>
  <c r="J19" i="8"/>
  <c r="E23" i="25"/>
  <c r="K45" i="17"/>
  <c r="K47" i="17" s="1"/>
  <c r="K51" i="17" s="1"/>
  <c r="K58" i="17" s="1"/>
  <c r="D4" i="24"/>
  <c r="D4" i="19"/>
  <c r="K36" i="17"/>
  <c r="K59" i="17" s="1"/>
  <c r="H12" i="8"/>
  <c r="C22" i="25"/>
  <c r="F7" i="8"/>
  <c r="E10" i="24"/>
  <c r="I10" i="24"/>
  <c r="I18" i="24" s="1"/>
  <c r="C27" i="24" s="1"/>
  <c r="F10" i="24"/>
  <c r="H10" i="24"/>
  <c r="C19" i="8"/>
  <c r="N13" i="8"/>
  <c r="O13" i="8"/>
  <c r="N25" i="8"/>
  <c r="O25" i="8"/>
  <c r="K7" i="8"/>
  <c r="N21" i="8"/>
  <c r="O21" i="8"/>
  <c r="I7" i="8"/>
  <c r="G7" i="8"/>
  <c r="N6" i="8"/>
  <c r="O6" i="8"/>
  <c r="L7" i="8"/>
  <c r="D7" i="8"/>
  <c r="N42" i="8"/>
  <c r="O42" i="8"/>
  <c r="G34" i="2"/>
  <c r="G14" i="8" s="1"/>
  <c r="G39" i="2"/>
  <c r="G44" i="2" s="1"/>
  <c r="G27" i="8" s="1"/>
  <c r="G37" i="2"/>
  <c r="D34" i="2"/>
  <c r="D14" i="8" s="1"/>
  <c r="D39" i="2"/>
  <c r="D44" i="2" s="1"/>
  <c r="D27" i="8" s="1"/>
  <c r="D37" i="2"/>
  <c r="I39" i="2"/>
  <c r="E27" i="27" s="1"/>
  <c r="I37" i="2"/>
  <c r="I34" i="2"/>
  <c r="I14" i="8" s="1"/>
  <c r="E37" i="2"/>
  <c r="E34" i="2"/>
  <c r="E14" i="8" s="1"/>
  <c r="E39" i="2"/>
  <c r="H34" i="2"/>
  <c r="H14" i="8" s="1"/>
  <c r="H39" i="2"/>
  <c r="D27" i="27" s="1"/>
  <c r="H37" i="2"/>
  <c r="J39" i="2"/>
  <c r="F27" i="27" s="1"/>
  <c r="J34" i="2"/>
  <c r="J14" i="8" s="1"/>
  <c r="J37" i="2"/>
  <c r="K37" i="2"/>
  <c r="K34" i="2"/>
  <c r="K14" i="8" s="1"/>
  <c r="K39" i="2"/>
  <c r="G27" i="27" s="1"/>
  <c r="C37" i="2"/>
  <c r="C39" i="2"/>
  <c r="C34" i="2"/>
  <c r="C14" i="8" s="1"/>
  <c r="L34" i="2"/>
  <c r="L14" i="8" s="1"/>
  <c r="L37" i="2"/>
  <c r="L39" i="2"/>
  <c r="F34" i="2"/>
  <c r="F14" i="8" s="1"/>
  <c r="F39" i="2"/>
  <c r="F37" i="2"/>
  <c r="I13" i="29" l="1"/>
  <c r="H19" i="29"/>
  <c r="H24" i="29" s="1"/>
  <c r="H28" i="29" s="1"/>
  <c r="H16" i="29"/>
  <c r="H27" i="27"/>
  <c r="H32" i="27" s="1"/>
  <c r="D19" i="29"/>
  <c r="B30" i="29"/>
  <c r="I2" i="29" s="1"/>
  <c r="I4" i="29"/>
  <c r="F32" i="27"/>
  <c r="F29" i="27"/>
  <c r="E32" i="27"/>
  <c r="E29" i="27"/>
  <c r="J61" i="17"/>
  <c r="G29" i="27"/>
  <c r="G32" i="27"/>
  <c r="K61" i="17"/>
  <c r="H29" i="27"/>
  <c r="D32" i="27"/>
  <c r="D29" i="27"/>
  <c r="I44" i="2"/>
  <c r="I49" i="2" s="1"/>
  <c r="I51" i="2" s="1"/>
  <c r="I22" i="8" s="1"/>
  <c r="N12" i="8"/>
  <c r="H58" i="17"/>
  <c r="H61" i="17" s="1"/>
  <c r="O12" i="8"/>
  <c r="E4" i="19"/>
  <c r="D6" i="19"/>
  <c r="D8" i="19" s="1"/>
  <c r="G45" i="17"/>
  <c r="G47" i="17" s="1"/>
  <c r="G36" i="17"/>
  <c r="E4" i="24"/>
  <c r="D6" i="24"/>
  <c r="D8" i="24" s="1"/>
  <c r="I45" i="17"/>
  <c r="I47" i="17" s="1"/>
  <c r="I51" i="17" s="1"/>
  <c r="I58" i="17" s="1"/>
  <c r="I36" i="17"/>
  <c r="I59" i="17" s="1"/>
  <c r="E40" i="2"/>
  <c r="E15" i="8" s="1"/>
  <c r="E8" i="8"/>
  <c r="E23" i="8"/>
  <c r="L40" i="2"/>
  <c r="D20" i="29" s="1"/>
  <c r="L8" i="8"/>
  <c r="L23" i="8"/>
  <c r="G35" i="25" s="1"/>
  <c r="J40" i="2"/>
  <c r="J8" i="8"/>
  <c r="J23" i="8"/>
  <c r="E35" i="25" s="1"/>
  <c r="N14" i="8"/>
  <c r="O14" i="8"/>
  <c r="I40" i="2"/>
  <c r="I8" i="8"/>
  <c r="I23" i="8"/>
  <c r="D35" i="25" s="1"/>
  <c r="O19" i="8"/>
  <c r="N19" i="8"/>
  <c r="N7" i="8"/>
  <c r="O7" i="8"/>
  <c r="G40" i="2"/>
  <c r="G15" i="8" s="1"/>
  <c r="G23" i="8"/>
  <c r="G8" i="8"/>
  <c r="C40" i="2"/>
  <c r="C15" i="8" s="1"/>
  <c r="C23" i="8"/>
  <c r="H40" i="2"/>
  <c r="H23" i="8"/>
  <c r="C35" i="25" s="1"/>
  <c r="H8" i="8"/>
  <c r="F40" i="2"/>
  <c r="F15" i="8" s="1"/>
  <c r="F23" i="8"/>
  <c r="F8" i="8"/>
  <c r="K40" i="2"/>
  <c r="K8" i="8"/>
  <c r="K23" i="8"/>
  <c r="F35" i="25" s="1"/>
  <c r="D40" i="2"/>
  <c r="D15" i="8" s="1"/>
  <c r="D8" i="8"/>
  <c r="D23" i="8"/>
  <c r="C44" i="2"/>
  <c r="C27" i="8" s="1"/>
  <c r="K44" i="2"/>
  <c r="K27" i="8" s="1"/>
  <c r="F31" i="25" s="1"/>
  <c r="F44" i="2"/>
  <c r="H44" i="2"/>
  <c r="H27" i="8" s="1"/>
  <c r="C31" i="25" s="1"/>
  <c r="J44" i="2"/>
  <c r="J27" i="8" s="1"/>
  <c r="E31" i="25" s="1"/>
  <c r="E44" i="2"/>
  <c r="L44" i="2"/>
  <c r="D24" i="29" s="1"/>
  <c r="G49" i="2"/>
  <c r="G51" i="2" s="1"/>
  <c r="G22" i="8" s="1"/>
  <c r="D49" i="2"/>
  <c r="D51" i="2" s="1"/>
  <c r="D22" i="8" s="1"/>
  <c r="D7" i="25" l="1"/>
  <c r="I19" i="29"/>
  <c r="I24" i="29" s="1"/>
  <c r="I28" i="29" s="1"/>
  <c r="I16" i="29"/>
  <c r="I24" i="8"/>
  <c r="G34" i="27"/>
  <c r="G53" i="27"/>
  <c r="G48" i="27"/>
  <c r="G50" i="27" s="1"/>
  <c r="D25" i="25"/>
  <c r="I27" i="8"/>
  <c r="D31" i="25" s="1"/>
  <c r="G45" i="2"/>
  <c r="F27" i="8"/>
  <c r="G25" i="25"/>
  <c r="L27" i="8"/>
  <c r="G31" i="25" s="1"/>
  <c r="E45" i="2"/>
  <c r="E27" i="8"/>
  <c r="D34" i="27"/>
  <c r="D48" i="27"/>
  <c r="D50" i="27" s="1"/>
  <c r="D53" i="27"/>
  <c r="E34" i="27"/>
  <c r="E48" i="27"/>
  <c r="E50" i="27" s="1"/>
  <c r="E53" i="27"/>
  <c r="H48" i="27"/>
  <c r="H50" i="27" s="1"/>
  <c r="H34" i="27"/>
  <c r="H53" i="27"/>
  <c r="F34" i="27"/>
  <c r="F53" i="27"/>
  <c r="F48" i="27"/>
  <c r="F50" i="27" s="1"/>
  <c r="G24" i="8"/>
  <c r="D24" i="8"/>
  <c r="I61" i="17"/>
  <c r="K64" i="17" s="1"/>
  <c r="L15" i="8"/>
  <c r="G24" i="25"/>
  <c r="F4" i="19"/>
  <c r="E6" i="19"/>
  <c r="E8" i="19" s="1"/>
  <c r="E11" i="19" s="1"/>
  <c r="I15" i="8"/>
  <c r="D24" i="25"/>
  <c r="F4" i="24"/>
  <c r="E6" i="24"/>
  <c r="E8" i="24" s="1"/>
  <c r="K53" i="17"/>
  <c r="K15" i="8"/>
  <c r="F24" i="25"/>
  <c r="J45" i="2"/>
  <c r="E26" i="25" s="1"/>
  <c r="E25" i="25"/>
  <c r="H45" i="2"/>
  <c r="C26" i="25" s="1"/>
  <c r="C25" i="25"/>
  <c r="H15" i="8"/>
  <c r="C24" i="25"/>
  <c r="K54" i="17"/>
  <c r="F49" i="2"/>
  <c r="F51" i="2" s="1"/>
  <c r="F22" i="8" s="1"/>
  <c r="F24" i="8" s="1"/>
  <c r="K49" i="2"/>
  <c r="K51" i="2" s="1"/>
  <c r="K22" i="8" s="1"/>
  <c r="K24" i="8" s="1"/>
  <c r="F25" i="25"/>
  <c r="J15" i="8"/>
  <c r="E24" i="25"/>
  <c r="N23" i="8"/>
  <c r="O23" i="8"/>
  <c r="C49" i="2"/>
  <c r="C51" i="2" s="1"/>
  <c r="C22" i="8" s="1"/>
  <c r="L49" i="2"/>
  <c r="L51" i="2" s="1"/>
  <c r="L22" i="8" s="1"/>
  <c r="L24" i="8" s="1"/>
  <c r="D45" i="2"/>
  <c r="O8" i="8"/>
  <c r="N8" i="8"/>
  <c r="H49" i="2"/>
  <c r="H51" i="2" s="1"/>
  <c r="H22" i="8" s="1"/>
  <c r="H24" i="8" s="1"/>
  <c r="K45" i="2"/>
  <c r="F26" i="25" s="1"/>
  <c r="J49" i="2"/>
  <c r="J51" i="2" s="1"/>
  <c r="J22" i="8" s="1"/>
  <c r="J24" i="8" s="1"/>
  <c r="E49" i="2"/>
  <c r="E51" i="2" s="1"/>
  <c r="E22" i="8" s="1"/>
  <c r="E24" i="8" s="1"/>
  <c r="F45" i="2"/>
  <c r="L45" i="2"/>
  <c r="G26" i="25" s="1"/>
  <c r="I45" i="2"/>
  <c r="D26" i="25" s="1"/>
  <c r="E11" i="24" l="1"/>
  <c r="N27" i="8"/>
  <c r="H44" i="27"/>
  <c r="H55" i="27"/>
  <c r="H61" i="27" s="1"/>
  <c r="D55" i="27"/>
  <c r="D61" i="27" s="1"/>
  <c r="D44" i="27"/>
  <c r="K63" i="17"/>
  <c r="F44" i="27"/>
  <c r="F55" i="27"/>
  <c r="F61" i="27" s="1"/>
  <c r="E44" i="27"/>
  <c r="E55" i="27"/>
  <c r="E61" i="27" s="1"/>
  <c r="O27" i="8"/>
  <c r="G55" i="27"/>
  <c r="G61" i="27" s="1"/>
  <c r="G44" i="27"/>
  <c r="N15" i="8"/>
  <c r="F6" i="19"/>
  <c r="F8" i="19" s="1"/>
  <c r="F11" i="19" s="1"/>
  <c r="G4" i="19"/>
  <c r="O15" i="8"/>
  <c r="G4" i="24"/>
  <c r="F6" i="24"/>
  <c r="F8" i="24" s="1"/>
  <c r="F11" i="24" s="1"/>
  <c r="N22" i="8"/>
  <c r="O22" i="8"/>
  <c r="C24" i="8"/>
  <c r="H4" i="19" l="1"/>
  <c r="G6" i="19"/>
  <c r="G8" i="19" s="1"/>
  <c r="G11" i="19" s="1"/>
  <c r="H4" i="24"/>
  <c r="G6" i="24"/>
  <c r="G8" i="24" s="1"/>
  <c r="N24" i="8"/>
  <c r="O24" i="8"/>
  <c r="G11" i="24" l="1"/>
  <c r="I4" i="19"/>
  <c r="I6" i="19" s="1"/>
  <c r="I8" i="19" s="1"/>
  <c r="H6" i="19"/>
  <c r="H8" i="19" s="1"/>
  <c r="H11" i="19" s="1"/>
  <c r="I4" i="24"/>
  <c r="I6" i="24" s="1"/>
  <c r="I8" i="24" s="1"/>
  <c r="I11" i="24" s="1"/>
  <c r="H6" i="24"/>
  <c r="H8" i="24" s="1"/>
  <c r="J27" i="24" s="1"/>
  <c r="K30" i="24" l="1"/>
  <c r="H29" i="24"/>
  <c r="K31" i="24"/>
  <c r="J29" i="24"/>
  <c r="I27" i="24"/>
  <c r="I30" i="24"/>
  <c r="K29" i="24"/>
  <c r="H27" i="24"/>
  <c r="J28" i="24"/>
  <c r="I31" i="24"/>
  <c r="H11" i="24"/>
  <c r="G28" i="24"/>
  <c r="K27" i="24"/>
  <c r="H30" i="24"/>
  <c r="J31" i="24"/>
  <c r="K28" i="24"/>
  <c r="G31" i="24"/>
  <c r="G27" i="24"/>
  <c r="G30" i="24"/>
  <c r="H31" i="24"/>
  <c r="J30" i="24"/>
  <c r="G29" i="24"/>
  <c r="I28" i="24"/>
  <c r="H28" i="24"/>
  <c r="I29" i="24"/>
  <c r="C19" i="19"/>
  <c r="C23" i="19" s="1"/>
  <c r="C28" i="19" s="1"/>
  <c r="I11" i="19"/>
  <c r="C27" i="19" s="1"/>
  <c r="C26" i="24"/>
  <c r="C28" i="24" s="1"/>
  <c r="C32" i="24" s="1"/>
  <c r="C34" i="24" s="1"/>
  <c r="C29" i="19" l="1"/>
  <c r="C33" i="19" s="1"/>
  <c r="C35" i="19" s="1"/>
  <c r="B38" i="19" s="1"/>
  <c r="C38" i="19"/>
  <c r="E18" i="19"/>
  <c r="B37" i="24"/>
  <c r="F26" i="24"/>
  <c r="C37" i="2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<sst xmlns="http://schemas.openxmlformats.org/spreadsheetml/2006/main" count="2027" uniqueCount="1380">
  <si>
    <t>Years</t>
  </si>
  <si>
    <t>Report Date</t>
  </si>
  <si>
    <t>Sales</t>
  </si>
  <si>
    <t>Depreciation</t>
  </si>
  <si>
    <t>Interest</t>
  </si>
  <si>
    <t>Tax</t>
  </si>
  <si>
    <t>COMPANY NAME </t>
  </si>
  <si>
    <t>TITAN COMPANY LTD</t>
  </si>
  <si>
    <t>LATEST VERSION </t>
  </si>
  <si>
    <t>2.1</t>
  </si>
  <si>
    <t>PLEASE DO NOT MAKE ANY CHANGES TO THIS SHEET </t>
  </si>
  <si>
    <t>CURRENT VERSION </t>
  </si>
  <si>
    <t>META </t>
  </si>
  <si>
    <t>Number of shares </t>
  </si>
  <si>
    <t>Face Value </t>
  </si>
  <si>
    <t>Current Price </t>
  </si>
  <si>
    <t>Market Capitalization </t>
  </si>
  <si>
    <t>PROFIT &amp; LOSS </t>
  </si>
  <si>
    <t>Sales </t>
  </si>
  <si>
    <t>Raw Material Cost </t>
  </si>
  <si>
    <t>Change in Inventory </t>
  </si>
  <si>
    <t>Power and Fuel </t>
  </si>
  <si>
    <t>Other Mfr. Exp </t>
  </si>
  <si>
    <t>Employee Cost </t>
  </si>
  <si>
    <t>Selling and admin </t>
  </si>
  <si>
    <t>Other Expenses </t>
  </si>
  <si>
    <t>Other Income </t>
  </si>
  <si>
    <t>Depreciation </t>
  </si>
  <si>
    <t>Interest </t>
  </si>
  <si>
    <t>Profit before tax </t>
  </si>
  <si>
    <t>Tax </t>
  </si>
  <si>
    <t>Net profit </t>
  </si>
  <si>
    <t>Dividend Amount </t>
  </si>
  <si>
    <t>Effective Tax Rate </t>
  </si>
  <si>
    <t>EBITDA </t>
  </si>
  <si>
    <t>Quarters </t>
  </si>
  <si>
    <t>Expenses </t>
  </si>
  <si>
    <t>Operating Profit </t>
  </si>
  <si>
    <t>BALANCE SHEET </t>
  </si>
  <si>
    <t>Equity Share Capital </t>
  </si>
  <si>
    <t>Reserves </t>
  </si>
  <si>
    <t>Borrowings </t>
  </si>
  <si>
    <t>Other Liabilities </t>
  </si>
  <si>
    <t>Total </t>
  </si>
  <si>
    <t>Net Block </t>
  </si>
  <si>
    <t>Capital Work in Progress </t>
  </si>
  <si>
    <t>Investments </t>
  </si>
  <si>
    <t>Other Assets </t>
  </si>
  <si>
    <t>Receivables </t>
  </si>
  <si>
    <t>Inventory </t>
  </si>
  <si>
    <t>Cash &amp; Bank </t>
  </si>
  <si>
    <t>No. of Equity Shares </t>
  </si>
  <si>
    <t>New Bonus Shares </t>
  </si>
  <si>
    <t>Face value </t>
  </si>
  <si>
    <t>-4,101.26 </t>
  </si>
  <si>
    <t>22,304.78 </t>
  </si>
  <si>
    <t>17,441.51 </t>
  </si>
  <si>
    <t>6,045.18 </t>
  </si>
  <si>
    <t>CASH FLOW: </t>
  </si>
  <si>
    <t>Cash from Operating Activity </t>
  </si>
  <si>
    <t>Cash from Investing Activity </t>
  </si>
  <si>
    <t>Cash from Financing Activity </t>
  </si>
  <si>
    <t>Net Cash Flow </t>
  </si>
  <si>
    <t>PRICE: </t>
  </si>
  <si>
    <t>DERIVED: </t>
  </si>
  <si>
    <t>Adjusted Equity Shares in Cr </t>
  </si>
  <si>
    <t>Income statement</t>
  </si>
  <si>
    <t>#</t>
  </si>
  <si>
    <t>Sales Growth</t>
  </si>
  <si>
    <t>-</t>
  </si>
  <si>
    <t>COGS</t>
  </si>
  <si>
    <t>COGS as % of sales</t>
  </si>
  <si>
    <t>Gross Profit</t>
  </si>
  <si>
    <t>SG&amp;A Expenses</t>
  </si>
  <si>
    <t>SG&amp;A Expenses as % of sales</t>
  </si>
  <si>
    <t>EBITDA</t>
  </si>
  <si>
    <t>EBITDA margin</t>
  </si>
  <si>
    <t>Interest as % of sales</t>
  </si>
  <si>
    <t>Depreciation as % of sales</t>
  </si>
  <si>
    <t>Gross Margin</t>
  </si>
  <si>
    <t>EBT</t>
  </si>
  <si>
    <t>EBT Margin</t>
  </si>
  <si>
    <t>Effective Tax rate</t>
  </si>
  <si>
    <t>Net Profit</t>
  </si>
  <si>
    <t>Net Profit Margin</t>
  </si>
  <si>
    <t>EPS</t>
  </si>
  <si>
    <t>Dividend</t>
  </si>
  <si>
    <t>Dividend per share</t>
  </si>
  <si>
    <t>EPS Growth %</t>
  </si>
  <si>
    <t>Divident payout ratio</t>
  </si>
  <si>
    <t>Retained earnings</t>
  </si>
  <si>
    <t>Balance Sheet</t>
  </si>
  <si>
    <t>Total Liabilities </t>
  </si>
  <si>
    <t>Fixed Assets Net Block </t>
  </si>
  <si>
    <t>Total Non Current Assets</t>
  </si>
  <si>
    <t>Total Current Assets</t>
  </si>
  <si>
    <t>Total Assets</t>
  </si>
  <si>
    <t>Other Non current Assets </t>
  </si>
  <si>
    <t>Profit from operations</t>
  </si>
  <si>
    <t>Receivables</t>
  </si>
  <si>
    <t>Inventory</t>
  </si>
  <si>
    <t>Payables</t>
  </si>
  <si>
    <t>Loans Advances</t>
  </si>
  <si>
    <t>Other WC items</t>
  </si>
  <si>
    <t>Working capital changes</t>
  </si>
  <si>
    <t>Direct taxes</t>
  </si>
  <si>
    <t>Fixed assets purchased</t>
  </si>
  <si>
    <t>Fixed assets sold</t>
  </si>
  <si>
    <t>Investments purchased</t>
  </si>
  <si>
    <t>Investments sold</t>
  </si>
  <si>
    <t>Interest received</t>
  </si>
  <si>
    <t>Dividends received</t>
  </si>
  <si>
    <t>Invest in subsidiaries</t>
  </si>
  <si>
    <t>Investment in group cos</t>
  </si>
  <si>
    <t>Redemp n Canc of Shares</t>
  </si>
  <si>
    <t>Acquisition of companies</t>
  </si>
  <si>
    <t>Inter corporate deposits</t>
  </si>
  <si>
    <t>Other investing items</t>
  </si>
  <si>
    <t>Proceeds from shares</t>
  </si>
  <si>
    <t>Redemption of debentures</t>
  </si>
  <si>
    <t>Proceeds from borrowings</t>
  </si>
  <si>
    <t>Repayment of borrowings</t>
  </si>
  <si>
    <t>Proceeds from deposits</t>
  </si>
  <si>
    <t>Interest paid fin</t>
  </si>
  <si>
    <t>Dividends paid</t>
  </si>
  <si>
    <t>Financial liabilities</t>
  </si>
  <si>
    <t>Other financing items</t>
  </si>
  <si>
    <t>Net Cash Flow</t>
  </si>
  <si>
    <t>Cash Flow Statement</t>
  </si>
  <si>
    <t>Operating Activites</t>
  </si>
  <si>
    <t>Cash from Operating activities</t>
  </si>
  <si>
    <t>Investing Activites</t>
  </si>
  <si>
    <t>Cash from Investing activities</t>
  </si>
  <si>
    <t>Financing Activities</t>
  </si>
  <si>
    <t>Cash from Financing activities</t>
  </si>
  <si>
    <t>SalesGrowth</t>
  </si>
  <si>
    <t>EBITDA Growth</t>
  </si>
  <si>
    <t>Net Profit Growth</t>
  </si>
  <si>
    <t>EBITDA Margin</t>
  </si>
  <si>
    <t>EBIT Margin</t>
  </si>
  <si>
    <t>SalesExpenses%Sales</t>
  </si>
  <si>
    <t>Depreciation%Sales</t>
  </si>
  <si>
    <t>OperatingIncome%Sales</t>
  </si>
  <si>
    <t>Return on Capital Employed</t>
  </si>
  <si>
    <t>Retained Earnings%</t>
  </si>
  <si>
    <t>Return on Equity%</t>
  </si>
  <si>
    <t>Self Sustained Growth Rate</t>
  </si>
  <si>
    <t>Interest Coverage Ratio</t>
  </si>
  <si>
    <t>Debtor Turnover Ratio</t>
  </si>
  <si>
    <t>Creditor Turnover Ratio</t>
  </si>
  <si>
    <t>Inventory Turnover</t>
  </si>
  <si>
    <t>Fixed Asset Turnover</t>
  </si>
  <si>
    <t>Capital Turnover Ratio</t>
  </si>
  <si>
    <t>Debtor Days</t>
  </si>
  <si>
    <t>Payable Days</t>
  </si>
  <si>
    <t>Inventory Days</t>
  </si>
  <si>
    <t>Cash Conversion Cycle (in days)</t>
  </si>
  <si>
    <t>CFO/Sales</t>
  </si>
  <si>
    <t>CFO/Total Assets</t>
  </si>
  <si>
    <t>CFO/Total Debt</t>
  </si>
  <si>
    <t>EBT Growth</t>
  </si>
  <si>
    <t>Dividend per share Growth</t>
  </si>
  <si>
    <t>(in days)</t>
  </si>
  <si>
    <t>Trend</t>
  </si>
  <si>
    <t>Mean</t>
  </si>
  <si>
    <t>Median</t>
  </si>
  <si>
    <t>Year</t>
  </si>
  <si>
    <t>EPS Growth</t>
  </si>
  <si>
    <t>Particulars</t>
  </si>
  <si>
    <t>Total Liabilities</t>
  </si>
  <si>
    <t>Total Liabilities</t>
  </si>
  <si>
    <t>5. Historical beta calculated using 2 years of weekly price data where available; Bluestone uses 1 year due to IPO in 2025</t>
  </si>
  <si>
    <t>4. Levered Beta = Unlevered Beta*(1+(1-Tax Rate) x Debt/Equity)</t>
  </si>
  <si>
    <t>3. Unlevered Beta = Levered Beta/(1+(1-Tax Rate) x Debt/Equity)</t>
  </si>
  <si>
    <t>Weighted Average Cost of Capital</t>
  </si>
  <si>
    <t>2. Levered Beta is based on 5 year monthly data</t>
  </si>
  <si>
    <t>Equity</t>
  </si>
  <si>
    <t>1. Tax Rate considered as Marginal Tax Rate for the country</t>
  </si>
  <si>
    <t>Debt</t>
  </si>
  <si>
    <t>Notes:</t>
  </si>
  <si>
    <t>Total Weight</t>
  </si>
  <si>
    <t>Total Cost</t>
  </si>
  <si>
    <t>Debt / Equity</t>
  </si>
  <si>
    <t>Levered Beta</t>
  </si>
  <si>
    <t>Total Capital</t>
  </si>
  <si>
    <t>Tax Rate</t>
  </si>
  <si>
    <t>Market Capitalization</t>
  </si>
  <si>
    <t>Target Debt / Equity</t>
  </si>
  <si>
    <t>Total Debt</t>
  </si>
  <si>
    <t>Target</t>
  </si>
  <si>
    <t>Current</t>
  </si>
  <si>
    <t>Capital Structure</t>
  </si>
  <si>
    <t>Cost of Equity</t>
  </si>
  <si>
    <r>
      <t>Levered Beta</t>
    </r>
    <r>
      <rPr>
        <vertAlign val="superscript"/>
        <sz val="11"/>
        <color theme="1"/>
        <rFont val="Calibri"/>
        <family val="2"/>
      </rPr>
      <t>4</t>
    </r>
  </si>
  <si>
    <t>Post Tax Cost of Debt</t>
  </si>
  <si>
    <t>Equity Risk Premium</t>
  </si>
  <si>
    <t>Risk Free Rate</t>
  </si>
  <si>
    <t>Pre-Tax Cost of Debt</t>
  </si>
  <si>
    <t>Cost of Debt</t>
  </si>
  <si>
    <t>Average</t>
  </si>
  <si>
    <t>India</t>
  </si>
  <si>
    <t>Sky Gold &amp; Diam.</t>
  </si>
  <si>
    <t>Bluestone Jewel</t>
  </si>
  <si>
    <t>Thangamayil Jew.</t>
  </si>
  <si>
    <t>Kalyan Jewellers</t>
  </si>
  <si>
    <t>Titan Company</t>
  </si>
  <si>
    <r>
      <t>Beta</t>
    </r>
    <r>
      <rPr>
        <vertAlign val="superscript"/>
        <sz val="11"/>
        <color theme="1"/>
        <rFont val="Calibri"/>
        <family val="2"/>
      </rPr>
      <t>3</t>
    </r>
  </si>
  <si>
    <r>
      <t>Beta</t>
    </r>
    <r>
      <rPr>
        <vertAlign val="superscript"/>
        <sz val="11"/>
        <color theme="1"/>
        <rFont val="Calibri"/>
        <family val="2"/>
      </rPr>
      <t>2</t>
    </r>
  </si>
  <si>
    <t>Capital</t>
  </si>
  <si>
    <r>
      <t>Tax Rate</t>
    </r>
    <r>
      <rPr>
        <vertAlign val="superscript"/>
        <sz val="11"/>
        <color theme="1"/>
        <rFont val="Calibri"/>
        <family val="2"/>
      </rPr>
      <t>1</t>
    </r>
  </si>
  <si>
    <t>Total Equity</t>
  </si>
  <si>
    <t>Country</t>
  </si>
  <si>
    <t>Name</t>
  </si>
  <si>
    <t>Unlevered</t>
  </si>
  <si>
    <t>Levered</t>
  </si>
  <si>
    <t>Debt /</t>
  </si>
  <si>
    <t>Peer comparision</t>
  </si>
  <si>
    <t>All figures are in INR unless stated otherwise</t>
  </si>
  <si>
    <t>WEIGHTED AVERAGE COST OF CAPITAL</t>
  </si>
  <si>
    <t>X Variable 1</t>
  </si>
  <si>
    <t>Intercept</t>
  </si>
  <si>
    <t>Upper 95.0%</t>
  </si>
  <si>
    <t>Lower 95.0%</t>
  </si>
  <si>
    <t>Upper 95%</t>
  </si>
  <si>
    <t>Lower 95%</t>
  </si>
  <si>
    <t>P-value</t>
  </si>
  <si>
    <t>t Stat</t>
  </si>
  <si>
    <t>Standard Error</t>
  </si>
  <si>
    <t>Coefficients</t>
  </si>
  <si>
    <t>Total</t>
  </si>
  <si>
    <t>Residual</t>
  </si>
  <si>
    <t>Regression</t>
  </si>
  <si>
    <t>Significance F</t>
  </si>
  <si>
    <t>F</t>
  </si>
  <si>
    <t>MS</t>
  </si>
  <si>
    <t>SS</t>
  </si>
  <si>
    <t>df</t>
  </si>
  <si>
    <t>ANOVA</t>
  </si>
  <si>
    <t>Observations</t>
  </si>
  <si>
    <t>Adjusted R Square</t>
  </si>
  <si>
    <t>R Square</t>
  </si>
  <si>
    <t>Multiple R</t>
  </si>
  <si>
    <t>Regression Statistics</t>
  </si>
  <si>
    <t>Adjusted Beta</t>
  </si>
  <si>
    <t>SUMMARY OUTPUT</t>
  </si>
  <si>
    <t>Market Beta Weight</t>
  </si>
  <si>
    <t>Market Beta</t>
  </si>
  <si>
    <t>Raw Beta Weight</t>
  </si>
  <si>
    <t>Beta (through regression)</t>
  </si>
  <si>
    <t>Levered Raw Beta</t>
  </si>
  <si>
    <t>Return</t>
  </si>
  <si>
    <t>Closing price</t>
  </si>
  <si>
    <t>Date</t>
  </si>
  <si>
    <t>Beta 2</t>
  </si>
  <si>
    <t>Beta Drifting</t>
  </si>
  <si>
    <t>NIFTY Returns</t>
  </si>
  <si>
    <t>Bluestone Weekly Returns</t>
  </si>
  <si>
    <t>Sky Gold &amp; Diam. Weekly Returns</t>
  </si>
  <si>
    <t>Thangamayil Jew. Weekly Returns</t>
  </si>
  <si>
    <t>Kalyan Jewellers Weekly Returns</t>
  </si>
  <si>
    <t>Beta 1</t>
  </si>
  <si>
    <t>Titan Weekly Returns</t>
  </si>
  <si>
    <t>Regression Beta - 2 Years Weekly</t>
  </si>
  <si>
    <t>Debt / Eq</t>
  </si>
  <si>
    <t>Debt Rs.Cr.</t>
  </si>
  <si>
    <t>Mar Cap Rs.Cr. </t>
  </si>
  <si>
    <t>CMP Rs.</t>
  </si>
  <si>
    <t>S.No.</t>
  </si>
  <si>
    <t>Total Market Return</t>
  </si>
  <si>
    <t>Average Return</t>
  </si>
  <si>
    <t>Return on Markets</t>
  </si>
  <si>
    <t>EBIT</t>
  </si>
  <si>
    <t>Invested Capital</t>
  </si>
  <si>
    <t>Net Non current Assets</t>
  </si>
  <si>
    <t>Gross Block</t>
  </si>
  <si>
    <t>Non Current Assets</t>
  </si>
  <si>
    <t>Net Working Capital</t>
  </si>
  <si>
    <t>Total Current Liabilties</t>
  </si>
  <si>
    <t>Current Liabilities</t>
  </si>
  <si>
    <t>Current Assets</t>
  </si>
  <si>
    <t>Calculation of ROIC</t>
  </si>
  <si>
    <t>Other asset items</t>
  </si>
  <si>
    <t>Loans n Advances</t>
  </si>
  <si>
    <t>Cash Equivalents</t>
  </si>
  <si>
    <t>Trade receivables</t>
  </si>
  <si>
    <t>Inventories</t>
  </si>
  <si>
    <t>Other Assets -</t>
  </si>
  <si>
    <t>Investments</t>
  </si>
  <si>
    <t>CWIP</t>
  </si>
  <si>
    <t>Net Block</t>
  </si>
  <si>
    <t>Accumulated Depreciation</t>
  </si>
  <si>
    <t>Other fixed assets</t>
  </si>
  <si>
    <t>Intangible Assets</t>
  </si>
  <si>
    <t>Vehicles</t>
  </si>
  <si>
    <t>Furniture n fittings</t>
  </si>
  <si>
    <t>Computers</t>
  </si>
  <si>
    <t>Equipments</t>
  </si>
  <si>
    <t>Plant Machinery</t>
  </si>
  <si>
    <t>Building</t>
  </si>
  <si>
    <t>Land</t>
  </si>
  <si>
    <t>Fixed Assets -</t>
  </si>
  <si>
    <t>Other liability items</t>
  </si>
  <si>
    <t>Advance from Customers</t>
  </si>
  <si>
    <t>Trade Payables</t>
  </si>
  <si>
    <t>Non controlling int</t>
  </si>
  <si>
    <t>Other Liabilities -</t>
  </si>
  <si>
    <t>Other Borrowings</t>
  </si>
  <si>
    <t>Lease Liabilities</t>
  </si>
  <si>
    <t>Short term Borrowings</t>
  </si>
  <si>
    <t>Long term Borrowings</t>
  </si>
  <si>
    <t>Reserves</t>
  </si>
  <si>
    <t>Equity Capital</t>
  </si>
  <si>
    <t>TITAN</t>
  </si>
  <si>
    <t>ROIC</t>
  </si>
  <si>
    <t>Calculation of Reinvestment Rate</t>
  </si>
  <si>
    <t>Net Capex</t>
  </si>
  <si>
    <t>Cash from Operating Activity -</t>
  </si>
  <si>
    <t>Cash from Investing Activity -</t>
  </si>
  <si>
    <t>Cash from Financing Activity -</t>
  </si>
  <si>
    <t>Change in Working Capital</t>
  </si>
  <si>
    <t>Marginal Tax Rate</t>
  </si>
  <si>
    <t>Reinvestment</t>
  </si>
  <si>
    <t>NOPAT</t>
  </si>
  <si>
    <t>Reinvestment Rate</t>
  </si>
  <si>
    <t>Gross Capex</t>
  </si>
  <si>
    <t>4 year Average</t>
  </si>
  <si>
    <t>4 year Median</t>
  </si>
  <si>
    <t>Calculation of Growth Rate</t>
  </si>
  <si>
    <t>Intrinsic Growth Rate</t>
  </si>
  <si>
    <t>Calculation of PV OF FCFF</t>
  </si>
  <si>
    <t>Less: Reinvestment rate</t>
  </si>
  <si>
    <t>FCFF</t>
  </si>
  <si>
    <t>Mid Year Convention</t>
  </si>
  <si>
    <t>Discounting Factor</t>
  </si>
  <si>
    <t>PV of FCFF</t>
  </si>
  <si>
    <t>Expected Growth</t>
  </si>
  <si>
    <t>Terminal Growth</t>
  </si>
  <si>
    <t>WACC</t>
  </si>
  <si>
    <t>15% used as the base-case expected growth rate, supported by Titan's stated medium-term 15–20% growth objective and current analyst estimates around 15–16%</t>
  </si>
  <si>
    <t>Calculation of Terminal Value</t>
  </si>
  <si>
    <t>FCFF(n+1)</t>
  </si>
  <si>
    <t>Terminal Growth Rate</t>
  </si>
  <si>
    <t>Terminal Value</t>
  </si>
  <si>
    <t>PV of Terminal Value</t>
  </si>
  <si>
    <t>Value of Operating Assets</t>
  </si>
  <si>
    <t>Add: Cash</t>
  </si>
  <si>
    <t>Less: Debt</t>
  </si>
  <si>
    <t>Calculation of Equity Value per Share</t>
  </si>
  <si>
    <t>Value of Equity</t>
  </si>
  <si>
    <t>No of shares</t>
  </si>
  <si>
    <t>Equity Value per share</t>
  </si>
  <si>
    <t>Share price</t>
  </si>
  <si>
    <t>Comparable Company Valuation</t>
  </si>
  <si>
    <t>Company</t>
  </si>
  <si>
    <t>Ticker</t>
  </si>
  <si>
    <t>Shares outstanding</t>
  </si>
  <si>
    <t>Equity Value</t>
  </si>
  <si>
    <t>Net Debt</t>
  </si>
  <si>
    <t>Enterprise Value</t>
  </si>
  <si>
    <t>Market Data</t>
  </si>
  <si>
    <t>Revenue</t>
  </si>
  <si>
    <t>Net Income</t>
  </si>
  <si>
    <t>Financials</t>
  </si>
  <si>
    <t>Valuation</t>
  </si>
  <si>
    <t>EV/Revenue</t>
  </si>
  <si>
    <t>EV/EBITDA</t>
  </si>
  <si>
    <t>P/E</t>
  </si>
  <si>
    <t>No. Eq. Shares Cr.</t>
  </si>
  <si>
    <t>Cash End PY Rs.Cr.</t>
  </si>
  <si>
    <t>EV Rs.Cr.</t>
  </si>
  <si>
    <t>Sales Rs.Cr.</t>
  </si>
  <si>
    <t>EV / EBITDA</t>
  </si>
  <si>
    <t>NP 12M Rs.Cr.</t>
  </si>
  <si>
    <t>PC Jeweller</t>
  </si>
  <si>
    <t>P N Gadgil Jewe.</t>
  </si>
  <si>
    <t>Ethos</t>
  </si>
  <si>
    <t>Timex Group</t>
  </si>
  <si>
    <t>Senco Gold</t>
  </si>
  <si>
    <t>Goldiam Intl.</t>
  </si>
  <si>
    <t>KDDL Ltd</t>
  </si>
  <si>
    <t>Vaibhav Global</t>
  </si>
  <si>
    <t>D.P. Abhushan</t>
  </si>
  <si>
    <t>Rajesh Exports</t>
  </si>
  <si>
    <t>Market Cap</t>
  </si>
  <si>
    <t>KALYANKJIL</t>
  </si>
  <si>
    <t>THANGAMAYL</t>
  </si>
  <si>
    <t>BLUESTONE</t>
  </si>
  <si>
    <t>SKYGOLD</t>
  </si>
  <si>
    <t>PCJEWELLER</t>
  </si>
  <si>
    <t>PNGJL</t>
  </si>
  <si>
    <t>ETHOS</t>
  </si>
  <si>
    <t>TIMEX</t>
  </si>
  <si>
    <t>SENCO</t>
  </si>
  <si>
    <t>Net debt</t>
  </si>
  <si>
    <t>High</t>
  </si>
  <si>
    <t>75th percentile</t>
  </si>
  <si>
    <t>25th percentile</t>
  </si>
  <si>
    <t>Low</t>
  </si>
  <si>
    <t>Implied Enterprise Value</t>
  </si>
  <si>
    <t>Implied Market Value</t>
  </si>
  <si>
    <t>Shares Outstanding</t>
  </si>
  <si>
    <t>Implied Value per Share</t>
  </si>
  <si>
    <t>Amount in crores</t>
  </si>
  <si>
    <t>Sensitivity Analysis</t>
  </si>
  <si>
    <t>TRI</t>
  </si>
  <si>
    <t>2026 YTD*</t>
  </si>
  <si>
    <t>*The 2026 YTD figure is an absolute return as of June 30, 2026. It does not represent a complete calendar-year return.</t>
  </si>
  <si>
    <t>Terminal EV/EBITDA Multiple</t>
  </si>
  <si>
    <t>A 40x multiple reflects Titan's dominant pricing power</t>
  </si>
  <si>
    <t>Terminal Enterprise Value</t>
  </si>
  <si>
    <t>PV of Terminal Enterprise Value</t>
  </si>
  <si>
    <t>Calculation of PV OF Terminal Enterprise Value</t>
  </si>
  <si>
    <t>The reinvestment rate utilizes a decaying glide path from 75% down to 55% by FY31, bridging historical working capital intensity with normalized steady-state efficiency.</t>
  </si>
  <si>
    <t>Figures in INR Crores</t>
  </si>
  <si>
    <t>Gross Profit Margin</t>
  </si>
  <si>
    <t>Dividend per Share</t>
  </si>
  <si>
    <t>DPS Growth</t>
  </si>
  <si>
    <t>Price</t>
  </si>
  <si>
    <t>Vol.</t>
  </si>
  <si>
    <t>1.10M</t>
  </si>
  <si>
    <t>377.62K</t>
  </si>
  <si>
    <t>347.52K</t>
  </si>
  <si>
    <t>256.38K</t>
  </si>
  <si>
    <t>352.38K</t>
  </si>
  <si>
    <t>614.44K</t>
  </si>
  <si>
    <t>412.98K</t>
  </si>
  <si>
    <t>354.87K</t>
  </si>
  <si>
    <t>565.26K</t>
  </si>
  <si>
    <t>587.76K</t>
  </si>
  <si>
    <t>533.27K</t>
  </si>
  <si>
    <t>1.11M</t>
  </si>
  <si>
    <t>1.66M</t>
  </si>
  <si>
    <t>3.66M</t>
  </si>
  <si>
    <t>1.17M</t>
  </si>
  <si>
    <t>1.28M</t>
  </si>
  <si>
    <t>546.33K</t>
  </si>
  <si>
    <t>1.18M</t>
  </si>
  <si>
    <t>505.42K</t>
  </si>
  <si>
    <t>1.00M</t>
  </si>
  <si>
    <t>777.36K</t>
  </si>
  <si>
    <t>837.06K</t>
  </si>
  <si>
    <t>1.32M</t>
  </si>
  <si>
    <t>500.72K</t>
  </si>
  <si>
    <t>513.86K</t>
  </si>
  <si>
    <t>421.19K</t>
  </si>
  <si>
    <t>996.48K</t>
  </si>
  <si>
    <t>530.09K</t>
  </si>
  <si>
    <t>274.16K</t>
  </si>
  <si>
    <t>667.21K</t>
  </si>
  <si>
    <t>1.14M</t>
  </si>
  <si>
    <t>619.45K</t>
  </si>
  <si>
    <t>631.16K</t>
  </si>
  <si>
    <t>770.37K</t>
  </si>
  <si>
    <t>652.65K</t>
  </si>
  <si>
    <t>1.78M</t>
  </si>
  <si>
    <t>1.05M</t>
  </si>
  <si>
    <t>3.39M</t>
  </si>
  <si>
    <t>589.17K</t>
  </si>
  <si>
    <t>542.12K</t>
  </si>
  <si>
    <t>820.71K</t>
  </si>
  <si>
    <t>1.24M</t>
  </si>
  <si>
    <t>569.09K</t>
  </si>
  <si>
    <t>754.05K</t>
  </si>
  <si>
    <t>652.08K</t>
  </si>
  <si>
    <t>586.59K</t>
  </si>
  <si>
    <t>390.84K</t>
  </si>
  <si>
    <t>941.35K</t>
  </si>
  <si>
    <t>562.83K</t>
  </si>
  <si>
    <t>623.87K</t>
  </si>
  <si>
    <t>779.71K</t>
  </si>
  <si>
    <t>1.08M</t>
  </si>
  <si>
    <t>1.12M</t>
  </si>
  <si>
    <t>767.67K</t>
  </si>
  <si>
    <t>613.63K</t>
  </si>
  <si>
    <t>666.74K</t>
  </si>
  <si>
    <t>1.39M</t>
  </si>
  <si>
    <t>1.76M</t>
  </si>
  <si>
    <t>959.35K</t>
  </si>
  <si>
    <t>522.02K</t>
  </si>
  <si>
    <t>450.20K</t>
  </si>
  <si>
    <t>2.00M</t>
  </si>
  <si>
    <t>474.04K</t>
  </si>
  <si>
    <t>766.72K</t>
  </si>
  <si>
    <t>606.09K</t>
  </si>
  <si>
    <t>768.11K</t>
  </si>
  <si>
    <t>863.06K</t>
  </si>
  <si>
    <t>913.58K</t>
  </si>
  <si>
    <t>711.40K</t>
  </si>
  <si>
    <t>851.83K</t>
  </si>
  <si>
    <t>901.62K</t>
  </si>
  <si>
    <t>1.13M</t>
  </si>
  <si>
    <t>2.84M</t>
  </si>
  <si>
    <t>1.98M</t>
  </si>
  <si>
    <t>5.93M</t>
  </si>
  <si>
    <t>4.78M</t>
  </si>
  <si>
    <t>1.38M</t>
  </si>
  <si>
    <t>1.46M</t>
  </si>
  <si>
    <t>850.79K</t>
  </si>
  <si>
    <t>709.16K</t>
  </si>
  <si>
    <t>869.30K</t>
  </si>
  <si>
    <t>702.73K</t>
  </si>
  <si>
    <t>620.78K</t>
  </si>
  <si>
    <t>649.22K</t>
  </si>
  <si>
    <t>958.54K</t>
  </si>
  <si>
    <t>680.19K</t>
  </si>
  <si>
    <t>596.35K</t>
  </si>
  <si>
    <t>656.11K</t>
  </si>
  <si>
    <t>1.65M</t>
  </si>
  <si>
    <t>2.12M</t>
  </si>
  <si>
    <t>918.51K</t>
  </si>
  <si>
    <t>850.46K</t>
  </si>
  <si>
    <t>1.57M</t>
  </si>
  <si>
    <t>3.83M</t>
  </si>
  <si>
    <t>1.27M</t>
  </si>
  <si>
    <t>1.68M</t>
  </si>
  <si>
    <t>1.61M</t>
  </si>
  <si>
    <t>781.97K</t>
  </si>
  <si>
    <t>1.49M</t>
  </si>
  <si>
    <t>1.04M</t>
  </si>
  <si>
    <t>1.31M</t>
  </si>
  <si>
    <t>1.30M</t>
  </si>
  <si>
    <t>1.53M</t>
  </si>
  <si>
    <t>1.02M</t>
  </si>
  <si>
    <t>567.28K</t>
  </si>
  <si>
    <t>751.31K</t>
  </si>
  <si>
    <t>1.01M</t>
  </si>
  <si>
    <t>868.83K</t>
  </si>
  <si>
    <t>1.07M</t>
  </si>
  <si>
    <t>454.58K</t>
  </si>
  <si>
    <t>788.85K</t>
  </si>
  <si>
    <t>576.02K</t>
  </si>
  <si>
    <t>580.56K</t>
  </si>
  <si>
    <t>691.37K</t>
  </si>
  <si>
    <t>770.59K</t>
  </si>
  <si>
    <t>1.15M</t>
  </si>
  <si>
    <t>520.99K</t>
  </si>
  <si>
    <t>586.30K</t>
  </si>
  <si>
    <t>491.13K</t>
  </si>
  <si>
    <t>516.39K</t>
  </si>
  <si>
    <t>532.17K</t>
  </si>
  <si>
    <t>406.23K</t>
  </si>
  <si>
    <t>387.33K</t>
  </si>
  <si>
    <t>464.12K</t>
  </si>
  <si>
    <t>500.35K</t>
  </si>
  <si>
    <t>524.76K</t>
  </si>
  <si>
    <t>998.51K</t>
  </si>
  <si>
    <t>3.34M</t>
  </si>
  <si>
    <t>1.71M</t>
  </si>
  <si>
    <t>1.09M</t>
  </si>
  <si>
    <t>888.70K</t>
  </si>
  <si>
    <t>693.64K</t>
  </si>
  <si>
    <t>917.28K</t>
  </si>
  <si>
    <t>1.43M</t>
  </si>
  <si>
    <t>809.02K</t>
  </si>
  <si>
    <t>818.97K</t>
  </si>
  <si>
    <t>552.76K</t>
  </si>
  <si>
    <t>586.16K</t>
  </si>
  <si>
    <t>365.91K</t>
  </si>
  <si>
    <t>686.95K</t>
  </si>
  <si>
    <t>998.69K</t>
  </si>
  <si>
    <t>770.71K</t>
  </si>
  <si>
    <t>514.77K</t>
  </si>
  <si>
    <t>883.12K</t>
  </si>
  <si>
    <t>1.06M</t>
  </si>
  <si>
    <t>3.50M</t>
  </si>
  <si>
    <t>820.33K</t>
  </si>
  <si>
    <t>629.27K</t>
  </si>
  <si>
    <t>660.00K</t>
  </si>
  <si>
    <t>444.68K</t>
  </si>
  <si>
    <t>1.36M</t>
  </si>
  <si>
    <t>399.23K</t>
  </si>
  <si>
    <t>445.66K</t>
  </si>
  <si>
    <t>569.52K</t>
  </si>
  <si>
    <t>730.78K</t>
  </si>
  <si>
    <t>516.55K</t>
  </si>
  <si>
    <t>601.01K</t>
  </si>
  <si>
    <t>1.56M</t>
  </si>
  <si>
    <t>332.34K</t>
  </si>
  <si>
    <t>547.87K</t>
  </si>
  <si>
    <t>669.18K</t>
  </si>
  <si>
    <t>616.25K</t>
  </si>
  <si>
    <t>545.86K</t>
  </si>
  <si>
    <t>508.45K</t>
  </si>
  <si>
    <t>776.69K</t>
  </si>
  <si>
    <t>770.64K</t>
  </si>
  <si>
    <t>661.02K</t>
  </si>
  <si>
    <t>603.07K</t>
  </si>
  <si>
    <t>574.82K</t>
  </si>
  <si>
    <t>542.24K</t>
  </si>
  <si>
    <t>364.59K</t>
  </si>
  <si>
    <t>680.37K</t>
  </si>
  <si>
    <t>1.26M</t>
  </si>
  <si>
    <t>383.31K</t>
  </si>
  <si>
    <t>762.39K</t>
  </si>
  <si>
    <t>1.58M</t>
  </si>
  <si>
    <t>849.97K</t>
  </si>
  <si>
    <t>504.93K</t>
  </si>
  <si>
    <t>575.05K</t>
  </si>
  <si>
    <t>668.62K</t>
  </si>
  <si>
    <t>805.03K</t>
  </si>
  <si>
    <t>668.79K</t>
  </si>
  <si>
    <t>599.57K</t>
  </si>
  <si>
    <t>729.00K</t>
  </si>
  <si>
    <t>927.23K</t>
  </si>
  <si>
    <t>2.52M</t>
  </si>
  <si>
    <t>900.99K</t>
  </si>
  <si>
    <t>544.15K</t>
  </si>
  <si>
    <t>789.56K</t>
  </si>
  <si>
    <t>1.48M</t>
  </si>
  <si>
    <t>856.12K</t>
  </si>
  <si>
    <t>563.30K</t>
  </si>
  <si>
    <t>1.62M</t>
  </si>
  <si>
    <t>156.31K</t>
  </si>
  <si>
    <t>707.97K</t>
  </si>
  <si>
    <t>926.00K</t>
  </si>
  <si>
    <t>606.12K</t>
  </si>
  <si>
    <t>825.27K</t>
  </si>
  <si>
    <t>597.74K</t>
  </si>
  <si>
    <t>4.53M</t>
  </si>
  <si>
    <t>996.17K</t>
  </si>
  <si>
    <t>798.75K</t>
  </si>
  <si>
    <t>1.73M</t>
  </si>
  <si>
    <t>1.45M</t>
  </si>
  <si>
    <t>7.52M</t>
  </si>
  <si>
    <t>690.45K</t>
  </si>
  <si>
    <t>817.83K</t>
  </si>
  <si>
    <t>2.34M</t>
  </si>
  <si>
    <t>829.44K</t>
  </si>
  <si>
    <t>659.87K</t>
  </si>
  <si>
    <t>724.74K</t>
  </si>
  <si>
    <t>362.29K</t>
  </si>
  <si>
    <t>275.05K</t>
  </si>
  <si>
    <t>495.42K</t>
  </si>
  <si>
    <t>408.80K</t>
  </si>
  <si>
    <t>428.37K</t>
  </si>
  <si>
    <t>548.99K</t>
  </si>
  <si>
    <t>454.12K</t>
  </si>
  <si>
    <t>635.81K</t>
  </si>
  <si>
    <t>791.87K</t>
  </si>
  <si>
    <t>536.30K</t>
  </si>
  <si>
    <t>297.53K</t>
  </si>
  <si>
    <t>660.96K</t>
  </si>
  <si>
    <t>989.25K</t>
  </si>
  <si>
    <t>960.78K</t>
  </si>
  <si>
    <t>700.50K</t>
  </si>
  <si>
    <t>691.84K</t>
  </si>
  <si>
    <t>673.49K</t>
  </si>
  <si>
    <t>517.03K</t>
  </si>
  <si>
    <t>537.43K</t>
  </si>
  <si>
    <t>1.25M</t>
  </si>
  <si>
    <t>597.99K</t>
  </si>
  <si>
    <t>360.47K</t>
  </si>
  <si>
    <t>929.28K</t>
  </si>
  <si>
    <t>563.59K</t>
  </si>
  <si>
    <t>2.18M</t>
  </si>
  <si>
    <t>509.60K</t>
  </si>
  <si>
    <t>635.46K</t>
  </si>
  <si>
    <t>837.34K</t>
  </si>
  <si>
    <t>450.43K</t>
  </si>
  <si>
    <t>422.98K</t>
  </si>
  <si>
    <t>553.16K</t>
  </si>
  <si>
    <t>443.74K</t>
  </si>
  <si>
    <t>511.04K</t>
  </si>
  <si>
    <t>603.92K</t>
  </si>
  <si>
    <t>624.41K</t>
  </si>
  <si>
    <t>630.72K</t>
  </si>
  <si>
    <t>584.59K</t>
  </si>
  <si>
    <t>1.75M</t>
  </si>
  <si>
    <t>561.80K</t>
  </si>
  <si>
    <t>293.36K</t>
  </si>
  <si>
    <t>559.48K</t>
  </si>
  <si>
    <t>669.53K</t>
  </si>
  <si>
    <t>686.09K</t>
  </si>
  <si>
    <t>755.78K</t>
  </si>
  <si>
    <t>856.96K</t>
  </si>
  <si>
    <t>496.59K</t>
  </si>
  <si>
    <t>1.87M</t>
  </si>
  <si>
    <t>3.95M</t>
  </si>
  <si>
    <t>829.47K</t>
  </si>
  <si>
    <t>629.93K</t>
  </si>
  <si>
    <t>528.71K</t>
  </si>
  <si>
    <t>583.51K</t>
  </si>
  <si>
    <t>947.17K</t>
  </si>
  <si>
    <t>921.78K</t>
  </si>
  <si>
    <t>601.29K</t>
  </si>
  <si>
    <t>2.70M</t>
  </si>
  <si>
    <t>968.80K</t>
  </si>
  <si>
    <t>643.33K</t>
  </si>
  <si>
    <t>2.94M</t>
  </si>
  <si>
    <t>972.74K</t>
  </si>
  <si>
    <t>534.67K</t>
  </si>
  <si>
    <t>821.75K</t>
  </si>
  <si>
    <t>811.82K</t>
  </si>
  <si>
    <t>505.08K</t>
  </si>
  <si>
    <t>561.70K</t>
  </si>
  <si>
    <t>540.26K</t>
  </si>
  <si>
    <t>602.42K</t>
  </si>
  <si>
    <t>608.65K</t>
  </si>
  <si>
    <t>410.35K</t>
  </si>
  <si>
    <t>676.94K</t>
  </si>
  <si>
    <t>726.39K</t>
  </si>
  <si>
    <t>962.94K</t>
  </si>
  <si>
    <t>513.10K</t>
  </si>
  <si>
    <t>449.32K</t>
  </si>
  <si>
    <t>525.51K</t>
  </si>
  <si>
    <t>416.72K</t>
  </si>
  <si>
    <t>709.85K</t>
  </si>
  <si>
    <t>415.02K</t>
  </si>
  <si>
    <t>811.42K</t>
  </si>
  <si>
    <t>376.76K</t>
  </si>
  <si>
    <t>525.06K</t>
  </si>
  <si>
    <t>1.23M</t>
  </si>
  <si>
    <t>588.16K</t>
  </si>
  <si>
    <t>996.54K</t>
  </si>
  <si>
    <t>956.93K</t>
  </si>
  <si>
    <t>2.86M</t>
  </si>
  <si>
    <t>1.60M</t>
  </si>
  <si>
    <t>650.79K</t>
  </si>
  <si>
    <t>565.18K</t>
  </si>
  <si>
    <t>668.47K</t>
  </si>
  <si>
    <t>708.82K</t>
  </si>
  <si>
    <t>575.44K</t>
  </si>
  <si>
    <t>384.15K</t>
  </si>
  <si>
    <t>704.33K</t>
  </si>
  <si>
    <t>901.75K</t>
  </si>
  <si>
    <t>628.66K</t>
  </si>
  <si>
    <t>609.21K</t>
  </si>
  <si>
    <t>672.13K</t>
  </si>
  <si>
    <t>889.94K</t>
  </si>
  <si>
    <t>814.92K</t>
  </si>
  <si>
    <t>1.22M</t>
  </si>
  <si>
    <t>2.83M</t>
  </si>
  <si>
    <t>901.80K</t>
  </si>
  <si>
    <t>1.67M</t>
  </si>
  <si>
    <t>778.42K</t>
  </si>
  <si>
    <t>1.64M</t>
  </si>
  <si>
    <t>1.54M</t>
  </si>
  <si>
    <t>730.98K</t>
  </si>
  <si>
    <t>865.95K</t>
  </si>
  <si>
    <t>632.35K</t>
  </si>
  <si>
    <t>785.22K</t>
  </si>
  <si>
    <t>489.54K</t>
  </si>
  <si>
    <t>576.26K</t>
  </si>
  <si>
    <t>855.41K</t>
  </si>
  <si>
    <t>1.40M</t>
  </si>
  <si>
    <t>579.88K</t>
  </si>
  <si>
    <t>1.19M</t>
  </si>
  <si>
    <t>516.17K</t>
  </si>
  <si>
    <t>604.02K</t>
  </si>
  <si>
    <t>642.28K</t>
  </si>
  <si>
    <t>431.23K</t>
  </si>
  <si>
    <t>407.79K</t>
  </si>
  <si>
    <t>653.15K</t>
  </si>
  <si>
    <t>521.95K</t>
  </si>
  <si>
    <t>592.64K</t>
  </si>
  <si>
    <t>712.61K</t>
  </si>
  <si>
    <t>587.41K</t>
  </si>
  <si>
    <t>727.24K</t>
  </si>
  <si>
    <t>774.62K</t>
  </si>
  <si>
    <t>903.97K</t>
  </si>
  <si>
    <t>904.44K</t>
  </si>
  <si>
    <t>740.16K</t>
  </si>
  <si>
    <t>2.17M</t>
  </si>
  <si>
    <t>2.19M</t>
  </si>
  <si>
    <t>1.21M</t>
  </si>
  <si>
    <t>688.61K</t>
  </si>
  <si>
    <t>570.14K</t>
  </si>
  <si>
    <t>579.96K</t>
  </si>
  <si>
    <t>618.31K</t>
  </si>
  <si>
    <t>564.24K</t>
  </si>
  <si>
    <t>713.60K</t>
  </si>
  <si>
    <t>598.33K</t>
  </si>
  <si>
    <t>722.34K</t>
  </si>
  <si>
    <t>559.15K</t>
  </si>
  <si>
    <t>570.06K</t>
  </si>
  <si>
    <t>826.24K</t>
  </si>
  <si>
    <t>2.39M</t>
  </si>
  <si>
    <t>2.15M</t>
  </si>
  <si>
    <t>1.63M</t>
  </si>
  <si>
    <t>357.38K</t>
  </si>
  <si>
    <t>616.44K</t>
  </si>
  <si>
    <t>941.86K</t>
  </si>
  <si>
    <t>568.99K</t>
  </si>
  <si>
    <t>637.09K</t>
  </si>
  <si>
    <t>485.25K</t>
  </si>
  <si>
    <t>691.20K</t>
  </si>
  <si>
    <t>732.63K</t>
  </si>
  <si>
    <t>646.15K</t>
  </si>
  <si>
    <t>926.47K</t>
  </si>
  <si>
    <t>554.70K</t>
  </si>
  <si>
    <t>926.42K</t>
  </si>
  <si>
    <t>2.38M</t>
  </si>
  <si>
    <t>1.16M</t>
  </si>
  <si>
    <t>915.98K</t>
  </si>
  <si>
    <t>1.70M</t>
  </si>
  <si>
    <t>732.84K</t>
  </si>
  <si>
    <t>721.35K</t>
  </si>
  <si>
    <t>1.89M</t>
  </si>
  <si>
    <t>2.21M</t>
  </si>
  <si>
    <t>943.25K</t>
  </si>
  <si>
    <t>911.54K</t>
  </si>
  <si>
    <t>992.98K</t>
  </si>
  <si>
    <t>1.72M</t>
  </si>
  <si>
    <t>4.52M</t>
  </si>
  <si>
    <t>872.40K</t>
  </si>
  <si>
    <t>176.64K</t>
  </si>
  <si>
    <t>895.28K</t>
  </si>
  <si>
    <t>702.77K</t>
  </si>
  <si>
    <t>736.46K</t>
  </si>
  <si>
    <t>805.01K</t>
  </si>
  <si>
    <t>764.37K</t>
  </si>
  <si>
    <t>877.84K</t>
  </si>
  <si>
    <t>882.09K</t>
  </si>
  <si>
    <t>714.75K</t>
  </si>
  <si>
    <t>560.80K</t>
  </si>
  <si>
    <t>591.64K</t>
  </si>
  <si>
    <t>578.72K</t>
  </si>
  <si>
    <t>593.21K</t>
  </si>
  <si>
    <t>858.46K</t>
  </si>
  <si>
    <t>774.22K</t>
  </si>
  <si>
    <t>2.16M</t>
  </si>
  <si>
    <t>1.86M</t>
  </si>
  <si>
    <t>942.34K</t>
  </si>
  <si>
    <t>530.11K</t>
  </si>
  <si>
    <t>1.95M</t>
  </si>
  <si>
    <t>945.26K</t>
  </si>
  <si>
    <t>420.64K</t>
  </si>
  <si>
    <t>392.34K</t>
  </si>
  <si>
    <t>386.60K</t>
  </si>
  <si>
    <t>1.34M</t>
  </si>
  <si>
    <t>831.81K</t>
  </si>
  <si>
    <t>923.36K</t>
  </si>
  <si>
    <t>1.41M</t>
  </si>
  <si>
    <t>3.44M</t>
  </si>
  <si>
    <t>529.86K</t>
  </si>
  <si>
    <t>718.80K</t>
  </si>
  <si>
    <t>927.47K</t>
  </si>
  <si>
    <t>727.48K</t>
  </si>
  <si>
    <t>1.99M</t>
  </si>
  <si>
    <t>526.59K</t>
  </si>
  <si>
    <t>997.80K</t>
  </si>
  <si>
    <t>874.60K</t>
  </si>
  <si>
    <t>976.54K</t>
  </si>
  <si>
    <t>1.93M</t>
  </si>
  <si>
    <t>879.40K</t>
  </si>
  <si>
    <t>1.83M</t>
  </si>
  <si>
    <t>3.86M</t>
  </si>
  <si>
    <t>7.16M</t>
  </si>
  <si>
    <t>696.26K</t>
  </si>
  <si>
    <t>501.34K</t>
  </si>
  <si>
    <t>1.50M</t>
  </si>
  <si>
    <t>1.44M</t>
  </si>
  <si>
    <t>2.04M</t>
  </si>
  <si>
    <t>5.32M</t>
  </si>
  <si>
    <t>741.14K</t>
  </si>
  <si>
    <t>980.61K</t>
  </si>
  <si>
    <t>878.95K</t>
  </si>
  <si>
    <t>645.00K</t>
  </si>
  <si>
    <t>2.71M</t>
  </si>
  <si>
    <t>1.59M</t>
  </si>
  <si>
    <t>2.35M</t>
  </si>
  <si>
    <t>2.05M</t>
  </si>
  <si>
    <t>2.08M</t>
  </si>
  <si>
    <t>2.93M</t>
  </si>
  <si>
    <t>2.37M</t>
  </si>
  <si>
    <t>519.53K</t>
  </si>
  <si>
    <t>548.58K</t>
  </si>
  <si>
    <t>804.49K</t>
  </si>
  <si>
    <t>878.63K</t>
  </si>
  <si>
    <t>977.79K</t>
  </si>
  <si>
    <t>626.57K</t>
  </si>
  <si>
    <t>827.67K</t>
  </si>
  <si>
    <t>56.64K</t>
  </si>
  <si>
    <t>657.04K</t>
  </si>
  <si>
    <t>620.16K</t>
  </si>
  <si>
    <t>1.29M</t>
  </si>
  <si>
    <t>3.11M</t>
  </si>
  <si>
    <t>6.89M</t>
  </si>
  <si>
    <t>963.22K</t>
  </si>
  <si>
    <t>703.52K</t>
  </si>
  <si>
    <t>798.78K</t>
  </si>
  <si>
    <t>652.81K</t>
  </si>
  <si>
    <t>769.99K</t>
  </si>
  <si>
    <t>668.66K</t>
  </si>
  <si>
    <t>1.51M</t>
  </si>
  <si>
    <t>854.08K</t>
  </si>
  <si>
    <t>1.91M</t>
  </si>
  <si>
    <t>567.55K</t>
  </si>
  <si>
    <t>745.29K</t>
  </si>
  <si>
    <t>849.27K</t>
  </si>
  <si>
    <t>801.60K</t>
  </si>
  <si>
    <t>677.96K</t>
  </si>
  <si>
    <t>964.05K</t>
  </si>
  <si>
    <t>767.91K</t>
  </si>
  <si>
    <t>526.88K</t>
  </si>
  <si>
    <t>554.44K</t>
  </si>
  <si>
    <t>785.26K</t>
  </si>
  <si>
    <t>1.03M</t>
  </si>
  <si>
    <t>564.57K</t>
  </si>
  <si>
    <t>597.85K</t>
  </si>
  <si>
    <t>838.51K</t>
  </si>
  <si>
    <t>765.60K</t>
  </si>
  <si>
    <t>733.66K</t>
  </si>
  <si>
    <t>787.54K</t>
  </si>
  <si>
    <t>51.20K</t>
  </si>
  <si>
    <t>1.69M</t>
  </si>
  <si>
    <t>538.61K</t>
  </si>
  <si>
    <t>673.96K</t>
  </si>
  <si>
    <t>546.84K</t>
  </si>
  <si>
    <t>897.83K</t>
  </si>
  <si>
    <t>660.43K</t>
  </si>
  <si>
    <t>744.11K</t>
  </si>
  <si>
    <t>528.87K</t>
  </si>
  <si>
    <t>915.50K</t>
  </si>
  <si>
    <t>759.06K</t>
  </si>
  <si>
    <t>796.06K</t>
  </si>
  <si>
    <t>487.28K</t>
  </si>
  <si>
    <t>900.22K</t>
  </si>
  <si>
    <t>1.77M</t>
  </si>
  <si>
    <t>2.32M</t>
  </si>
  <si>
    <t>852.45K</t>
  </si>
  <si>
    <t>699.22K</t>
  </si>
  <si>
    <t>646.14K</t>
  </si>
  <si>
    <t>636.99K</t>
  </si>
  <si>
    <t>238.58K</t>
  </si>
  <si>
    <t>2.57M</t>
  </si>
  <si>
    <t>723.36K</t>
  </si>
  <si>
    <t>661.29K</t>
  </si>
  <si>
    <t>990.58K</t>
  </si>
  <si>
    <t>392.82K</t>
  </si>
  <si>
    <t>556.31K</t>
  </si>
  <si>
    <t>572.61K</t>
  </si>
  <si>
    <t>1.20M</t>
  </si>
  <si>
    <t>963.63K</t>
  </si>
  <si>
    <t>545.23K</t>
  </si>
  <si>
    <t>356.76K</t>
  </si>
  <si>
    <t>453.69K</t>
  </si>
  <si>
    <t>286.68K</t>
  </si>
  <si>
    <t>709.61K</t>
  </si>
  <si>
    <t>666.63K</t>
  </si>
  <si>
    <t>526.10K</t>
  </si>
  <si>
    <t>777.10K</t>
  </si>
  <si>
    <t>816.72K</t>
  </si>
  <si>
    <t>849.00K</t>
  </si>
  <si>
    <t>577.93K</t>
  </si>
  <si>
    <t>699.85K</t>
  </si>
  <si>
    <t>906.27K</t>
  </si>
  <si>
    <t>992.76K</t>
  </si>
  <si>
    <t>717.62K</t>
  </si>
  <si>
    <t>620.60K</t>
  </si>
  <si>
    <t>820.21K</t>
  </si>
  <si>
    <t>474.14K</t>
  </si>
  <si>
    <t>713.65K</t>
  </si>
  <si>
    <t>808.84K</t>
  </si>
  <si>
    <t>655.26K</t>
  </si>
  <si>
    <t>819.20K</t>
  </si>
  <si>
    <t>733.52K</t>
  </si>
  <si>
    <t>589.53K</t>
  </si>
  <si>
    <t>517.36K</t>
  </si>
  <si>
    <t>980.78K</t>
  </si>
  <si>
    <t>497.38K</t>
  </si>
  <si>
    <t>633.41K</t>
  </si>
  <si>
    <t>747.86K</t>
  </si>
  <si>
    <t>275.54K</t>
  </si>
  <si>
    <t>204.44K</t>
  </si>
  <si>
    <t>632.31K</t>
  </si>
  <si>
    <t>433.99K</t>
  </si>
  <si>
    <t>774.18K</t>
  </si>
  <si>
    <t>756.82K</t>
  </si>
  <si>
    <t>802.32K</t>
  </si>
  <si>
    <t>762.47K</t>
  </si>
  <si>
    <t>566.92K</t>
  </si>
  <si>
    <t>657.55K</t>
  </si>
  <si>
    <t>698.77K</t>
  </si>
  <si>
    <t>324.54K</t>
  </si>
  <si>
    <t>584.63K</t>
  </si>
  <si>
    <t>778.01K</t>
  </si>
  <si>
    <t>920.55K</t>
  </si>
  <si>
    <t>429.10K</t>
  </si>
  <si>
    <t>546.58K</t>
  </si>
  <si>
    <t>633.93K</t>
  </si>
  <si>
    <t>822.47K</t>
  </si>
  <si>
    <t>486.97K</t>
  </si>
  <si>
    <t>697.56K</t>
  </si>
  <si>
    <t>623.52K</t>
  </si>
  <si>
    <t>1.42M</t>
  </si>
  <si>
    <t>1.37M</t>
  </si>
  <si>
    <t>591.51K</t>
  </si>
  <si>
    <t>544.45K</t>
  </si>
  <si>
    <t>700.16K</t>
  </si>
  <si>
    <t>805.30K</t>
  </si>
  <si>
    <t>721.20K</t>
  </si>
  <si>
    <t>539.81K</t>
  </si>
  <si>
    <t>423.74K</t>
  </si>
  <si>
    <t>582.77K</t>
  </si>
  <si>
    <t>482.64K</t>
  </si>
  <si>
    <t>471.70K</t>
  </si>
  <si>
    <t>648.00K</t>
  </si>
  <si>
    <t>618.63K</t>
  </si>
  <si>
    <t>602.20K</t>
  </si>
  <si>
    <t>714.22K</t>
  </si>
  <si>
    <t>706.62K</t>
  </si>
  <si>
    <t>860.78K</t>
  </si>
  <si>
    <t>544.44K</t>
  </si>
  <si>
    <t>542.56K</t>
  </si>
  <si>
    <t>1.82M</t>
  </si>
  <si>
    <t>970.99K</t>
  </si>
  <si>
    <t>600.08K</t>
  </si>
  <si>
    <t>474.42K</t>
  </si>
  <si>
    <t>580.36K</t>
  </si>
  <si>
    <t>709.33K</t>
  </si>
  <si>
    <t>3.32M</t>
  </si>
  <si>
    <t>602.29K</t>
  </si>
  <si>
    <t>656.05K</t>
  </si>
  <si>
    <t>837.05K</t>
  </si>
  <si>
    <t>595.54K</t>
  </si>
  <si>
    <t>588.49K</t>
  </si>
  <si>
    <t>874.79K</t>
  </si>
  <si>
    <t>523.14K</t>
  </si>
  <si>
    <t>599.59K</t>
  </si>
  <si>
    <t>568.89K</t>
  </si>
  <si>
    <t>866.58K</t>
  </si>
  <si>
    <t>932.02K</t>
  </si>
  <si>
    <t>3.63M</t>
  </si>
  <si>
    <t>976.96K</t>
  </si>
  <si>
    <t>643.66K</t>
  </si>
  <si>
    <t>946.11K</t>
  </si>
  <si>
    <t>913.73K</t>
  </si>
  <si>
    <t>839.71K</t>
  </si>
  <si>
    <t>869.34K</t>
  </si>
  <si>
    <t>496.44K</t>
  </si>
  <si>
    <t>672.30K</t>
  </si>
  <si>
    <t>564.71K</t>
  </si>
  <si>
    <t>617.70K</t>
  </si>
  <si>
    <t>776.31K</t>
  </si>
  <si>
    <t>727.88K</t>
  </si>
  <si>
    <t>560.51K</t>
  </si>
  <si>
    <t>862.82K</t>
  </si>
  <si>
    <t>724.10K</t>
  </si>
  <si>
    <t>538.55K</t>
  </si>
  <si>
    <t>811.40K</t>
  </si>
  <si>
    <t>651.49K</t>
  </si>
  <si>
    <t>814.55K</t>
  </si>
  <si>
    <t>713.75K</t>
  </si>
  <si>
    <t>559.51K</t>
  </si>
  <si>
    <t>846.42K</t>
  </si>
  <si>
    <t>612.44K</t>
  </si>
  <si>
    <t>539.55K</t>
  </si>
  <si>
    <t>548.89K</t>
  </si>
  <si>
    <t>772.91K</t>
  </si>
  <si>
    <t>705.52K</t>
  </si>
  <si>
    <t>621.07K</t>
  </si>
  <si>
    <t>522.15K</t>
  </si>
  <si>
    <t>893.69K</t>
  </si>
  <si>
    <t>848.64K</t>
  </si>
  <si>
    <t>1.94M</t>
  </si>
  <si>
    <t>808.21K</t>
  </si>
  <si>
    <t>726.44K</t>
  </si>
  <si>
    <t>620.04K</t>
  </si>
  <si>
    <t>631.28K</t>
  </si>
  <si>
    <t>630.99K</t>
  </si>
  <si>
    <t>409.93K</t>
  </si>
  <si>
    <t>995.47K</t>
  </si>
  <si>
    <t>687.29K</t>
  </si>
  <si>
    <t>674.76K</t>
  </si>
  <si>
    <t>481.46K</t>
  </si>
  <si>
    <t>553.81K</t>
  </si>
  <si>
    <t>820.57K</t>
  </si>
  <si>
    <t>701.71K</t>
  </si>
  <si>
    <t>848.46K</t>
  </si>
  <si>
    <t>710.60K</t>
  </si>
  <si>
    <t>599.19K</t>
  </si>
  <si>
    <t>728.73K</t>
  </si>
  <si>
    <t>838.92K</t>
  </si>
  <si>
    <t>610.78K</t>
  </si>
  <si>
    <t>754.73K</t>
  </si>
  <si>
    <t>918.92K</t>
  </si>
  <si>
    <t>1.47M</t>
  </si>
  <si>
    <t>631.72K</t>
  </si>
  <si>
    <t>543.00K</t>
  </si>
  <si>
    <t>601.07K</t>
  </si>
  <si>
    <t>858.50K</t>
  </si>
  <si>
    <t>682.56K</t>
  </si>
  <si>
    <t>710.85K</t>
  </si>
  <si>
    <t>529.61K</t>
  </si>
  <si>
    <t>479.94K</t>
  </si>
  <si>
    <t>862.63K</t>
  </si>
  <si>
    <t>750.27K</t>
  </si>
  <si>
    <t>460.09K</t>
  </si>
  <si>
    <t>607.24K</t>
  </si>
  <si>
    <t>704.95K</t>
  </si>
  <si>
    <t>707.22K</t>
  </si>
  <si>
    <t>843.48K</t>
  </si>
  <si>
    <t>597.34K</t>
  </si>
  <si>
    <t>464.72K</t>
  </si>
  <si>
    <t>539.09K</t>
  </si>
  <si>
    <t>563.20K</t>
  </si>
  <si>
    <t>3.69M</t>
  </si>
  <si>
    <t>1.79M</t>
  </si>
  <si>
    <t>1.52M</t>
  </si>
  <si>
    <t>650.66K</t>
  </si>
  <si>
    <t>714.00K</t>
  </si>
  <si>
    <t>932.55K</t>
  </si>
  <si>
    <t>601.23K</t>
  </si>
  <si>
    <t>926.14K</t>
  </si>
  <si>
    <t>737.01K</t>
  </si>
  <si>
    <t>874.52K</t>
  </si>
  <si>
    <t>948.79K</t>
  </si>
  <si>
    <t>879.02K</t>
  </si>
  <si>
    <t>832.05K</t>
  </si>
  <si>
    <t>852.51K</t>
  </si>
  <si>
    <t>697.41K</t>
  </si>
  <si>
    <t>2.44M</t>
  </si>
  <si>
    <t>791.28K</t>
  </si>
  <si>
    <t>557.61K</t>
  </si>
  <si>
    <t>519.33K</t>
  </si>
  <si>
    <t>597.90K</t>
  </si>
  <si>
    <t>572.22K</t>
  </si>
  <si>
    <t>767.74K</t>
  </si>
  <si>
    <t>832.74K</t>
  </si>
  <si>
    <t>726.33K</t>
  </si>
  <si>
    <t>935.05K</t>
  </si>
  <si>
    <t>648.29K</t>
  </si>
  <si>
    <t>712.91K</t>
  </si>
  <si>
    <t>706.60K</t>
  </si>
  <si>
    <t>747.11K</t>
  </si>
  <si>
    <t>731.40K</t>
  </si>
  <si>
    <t>539.84K</t>
  </si>
  <si>
    <t>866.62K</t>
  </si>
  <si>
    <t>665.15K</t>
  </si>
  <si>
    <t>633.05K</t>
  </si>
  <si>
    <t>752.07K</t>
  </si>
  <si>
    <t>992.87K</t>
  </si>
  <si>
    <t>912.07K</t>
  </si>
  <si>
    <t>629.04K</t>
  </si>
  <si>
    <t>835.06K</t>
  </si>
  <si>
    <t>565.43K</t>
  </si>
  <si>
    <t>833.73K</t>
  </si>
  <si>
    <t>890.11K</t>
  </si>
  <si>
    <t>505.76K</t>
  </si>
  <si>
    <t>184.60K</t>
  </si>
  <si>
    <t>986.52K</t>
  </si>
  <si>
    <t>771.85K</t>
  </si>
  <si>
    <t>1.33M</t>
  </si>
  <si>
    <t>5.28M</t>
  </si>
  <si>
    <t>1.35M</t>
  </si>
  <si>
    <t>844.55K</t>
  </si>
  <si>
    <t>808.42K</t>
  </si>
  <si>
    <t>753.65K</t>
  </si>
  <si>
    <t>915.28K</t>
  </si>
  <si>
    <t>808.36K</t>
  </si>
  <si>
    <t>777.19K</t>
  </si>
  <si>
    <t>754.15K</t>
  </si>
  <si>
    <t>438.64K</t>
  </si>
  <si>
    <t>680.07K</t>
  </si>
  <si>
    <t>733.48K</t>
  </si>
  <si>
    <t>800.45K</t>
  </si>
  <si>
    <t>2.40M</t>
  </si>
  <si>
    <t>732.58K</t>
  </si>
  <si>
    <t>672.57K</t>
  </si>
  <si>
    <t>947.29K</t>
  </si>
  <si>
    <t>751.51K</t>
  </si>
  <si>
    <t>827.66K</t>
  </si>
  <si>
    <t>863.50K</t>
  </si>
  <si>
    <t>761.42K</t>
  </si>
  <si>
    <t>777.69K</t>
  </si>
  <si>
    <t>581.27K</t>
  </si>
  <si>
    <t>867.22K</t>
  </si>
  <si>
    <t>2.02M</t>
  </si>
  <si>
    <t>1.74M</t>
  </si>
  <si>
    <t>767.22K</t>
  </si>
  <si>
    <t>5.92M</t>
  </si>
  <si>
    <t>4.06M</t>
  </si>
  <si>
    <t>2.49M</t>
  </si>
  <si>
    <t>3.40M</t>
  </si>
  <si>
    <t>854.62K</t>
  </si>
  <si>
    <t>3.29M</t>
  </si>
  <si>
    <t>1.97M</t>
  </si>
  <si>
    <t>6.07M</t>
  </si>
  <si>
    <t>783.71K</t>
  </si>
  <si>
    <t>893.73K</t>
  </si>
  <si>
    <t>928.41K</t>
  </si>
  <si>
    <t>927.89K</t>
  </si>
  <si>
    <t>3.26M</t>
  </si>
  <si>
    <t>966.73K</t>
  </si>
  <si>
    <t>2.13M</t>
  </si>
  <si>
    <t>7.01M</t>
  </si>
  <si>
    <t>865.92K</t>
  </si>
  <si>
    <t>981.12K</t>
  </si>
  <si>
    <t>2.58M</t>
  </si>
  <si>
    <t>968.07K</t>
  </si>
  <si>
    <t>2.36M</t>
  </si>
  <si>
    <t>933.88K</t>
  </si>
  <si>
    <t>801.14K</t>
  </si>
  <si>
    <t>682.38K</t>
  </si>
  <si>
    <t>878.78K</t>
  </si>
  <si>
    <t>880.72K</t>
  </si>
  <si>
    <t>639.19K</t>
  </si>
  <si>
    <t>929.83K</t>
  </si>
  <si>
    <t>660.11K</t>
  </si>
  <si>
    <t>2.79M</t>
  </si>
  <si>
    <t>910.32K</t>
  </si>
  <si>
    <t>866.67K</t>
  </si>
  <si>
    <t>908.17K</t>
  </si>
  <si>
    <t>1.84M</t>
  </si>
  <si>
    <t>757.20K</t>
  </si>
  <si>
    <t>812.33K</t>
  </si>
  <si>
    <t>1.55M</t>
  </si>
  <si>
    <t>2.65M</t>
  </si>
  <si>
    <t>3.54M</t>
  </si>
  <si>
    <t>1.88M</t>
  </si>
  <si>
    <t>2.10M</t>
  </si>
  <si>
    <t>874.15K</t>
  </si>
  <si>
    <t>788.57K</t>
  </si>
  <si>
    <t>654.37K</t>
  </si>
  <si>
    <t>960.89K</t>
  </si>
  <si>
    <t>816.49K</t>
  </si>
  <si>
    <t>788.69K</t>
  </si>
  <si>
    <t>826.26K</t>
  </si>
  <si>
    <t>2.72M</t>
  </si>
  <si>
    <t>3.88M</t>
  </si>
  <si>
    <t>900.51K</t>
  </si>
  <si>
    <t>2.46M</t>
  </si>
  <si>
    <t>2.85M</t>
  </si>
  <si>
    <t>4.63M</t>
  </si>
  <si>
    <t>921.73K</t>
  </si>
  <si>
    <t>2.23M</t>
  </si>
  <si>
    <t>764.64K</t>
  </si>
  <si>
    <t>871.45K</t>
  </si>
  <si>
    <t>537.55K</t>
  </si>
  <si>
    <t>534.07K</t>
  </si>
  <si>
    <t>613.69K</t>
  </si>
  <si>
    <t>643.03K</t>
  </si>
  <si>
    <t>883.86K</t>
  </si>
  <si>
    <t>998.09K</t>
  </si>
  <si>
    <t>567.27K</t>
  </si>
  <si>
    <t>765.27K</t>
  </si>
  <si>
    <t>992.85K</t>
  </si>
  <si>
    <t>2.29M</t>
  </si>
  <si>
    <t>926.48K</t>
  </si>
  <si>
    <t>904.18K</t>
  </si>
  <si>
    <t>547.64K</t>
  </si>
  <si>
    <t>2.68M</t>
  </si>
  <si>
    <t>662.07K</t>
  </si>
  <si>
    <t>614.15K</t>
  </si>
  <si>
    <t>739.91K</t>
  </si>
  <si>
    <t>892.52K</t>
  </si>
  <si>
    <t>846.89K</t>
  </si>
  <si>
    <t>911.24K</t>
  </si>
  <si>
    <t>3.45M</t>
  </si>
  <si>
    <t>181.51K</t>
  </si>
  <si>
    <t>3.33M</t>
  </si>
  <si>
    <t>3.06M</t>
  </si>
  <si>
    <t>2.30M</t>
  </si>
  <si>
    <t>2.87M</t>
  </si>
  <si>
    <t>3.55M</t>
  </si>
  <si>
    <t>4.02M</t>
  </si>
  <si>
    <t>3.52M</t>
  </si>
  <si>
    <t>1.85M</t>
  </si>
  <si>
    <t>8.36M</t>
  </si>
  <si>
    <t>895.21K</t>
  </si>
  <si>
    <t>870.88K</t>
  </si>
  <si>
    <t>626.71K</t>
  </si>
  <si>
    <t>912.91K</t>
  </si>
  <si>
    <t>923.49K</t>
  </si>
  <si>
    <t>507.55K</t>
  </si>
  <si>
    <t>540.77K</t>
  </si>
  <si>
    <t>711.63K</t>
  </si>
  <si>
    <t>539.79K</t>
  </si>
  <si>
    <t>411.74K</t>
  </si>
  <si>
    <t>725.12K</t>
  </si>
  <si>
    <t>2.80M</t>
  </si>
  <si>
    <t>888.77K</t>
  </si>
  <si>
    <t>786.46K</t>
  </si>
  <si>
    <t>653.40K</t>
  </si>
  <si>
    <t>796.81K</t>
  </si>
  <si>
    <t>773.09K</t>
  </si>
  <si>
    <t>679.13K</t>
  </si>
  <si>
    <t>TITAN DAILY SHARE PRICE - LAST 5 YEARS</t>
  </si>
  <si>
    <t>Share Price - 5Y</t>
  </si>
  <si>
    <t>Key Financial Ratios</t>
  </si>
  <si>
    <t>Price to Earnings</t>
  </si>
  <si>
    <t>EV/Sales</t>
  </si>
  <si>
    <t>Price to Book Value</t>
  </si>
  <si>
    <t>Return on Equity</t>
  </si>
  <si>
    <t>Market cap in cr</t>
  </si>
  <si>
    <t>Enterprise value in cr</t>
  </si>
  <si>
    <t>Book value in cr</t>
  </si>
  <si>
    <t>Rapid Growth with Stable Margins</t>
  </si>
  <si>
    <t>BSE: 500114</t>
  </si>
  <si>
    <t>52-wk high: ₹5,187.45</t>
  </si>
  <si>
    <t>52-wk low: ₹3,307.35</t>
  </si>
  <si>
    <t>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t>
  </si>
  <si>
    <t>About the Company:</t>
  </si>
  <si>
    <t>Return on Equity (ROE)</t>
  </si>
  <si>
    <t>Average Shareholder Equity</t>
  </si>
  <si>
    <t>Return on Equity (ROE) - Dupont Equation</t>
  </si>
  <si>
    <t>Net Profit Margin (A)</t>
  </si>
  <si>
    <t>Average Total Assets</t>
  </si>
  <si>
    <t>Asset Turnover Ratio (B)</t>
  </si>
  <si>
    <t>Financial Leverage Ratio (C)</t>
  </si>
  <si>
    <t>Return on Equity (A*B*C)</t>
  </si>
  <si>
    <t>Return on Assets (ROA)</t>
  </si>
  <si>
    <t>Return on Assets</t>
  </si>
  <si>
    <t>Return on Assets (ROA) - Dupont Equation</t>
  </si>
  <si>
    <t>Return on Assets (A*B)</t>
  </si>
  <si>
    <t xml:space="preserve">Revenue Growth </t>
  </si>
  <si>
    <t>Financial Summary</t>
  </si>
  <si>
    <t>EBIT as % of sales</t>
  </si>
  <si>
    <t>Other Income</t>
  </si>
  <si>
    <t>Other Income as % of sales</t>
  </si>
  <si>
    <t>Peer Average</t>
  </si>
  <si>
    <t>Peer Median</t>
  </si>
  <si>
    <t>Peer Median Unlevered Beta</t>
  </si>
  <si>
    <t>6. Pre-tax cost of debt is set at 7.20% based on Titan's implied interest statement yields and current credit facility borrowing rates.</t>
  </si>
  <si>
    <t>(28th August, 2026 - close price)</t>
  </si>
  <si>
    <t>Peer multiples based on market prices as of 28 Aug 2026 and latest TTM financials (June 2026)</t>
  </si>
  <si>
    <t>Growth Rate</t>
  </si>
  <si>
    <t>Sales Growth Rate</t>
  </si>
  <si>
    <t xml:space="preserve">EBITDA Margin </t>
  </si>
  <si>
    <t>Forecast Assumptions</t>
  </si>
  <si>
    <t>Target P/E Multiple</t>
  </si>
  <si>
    <t>Implied Target Price</t>
  </si>
  <si>
    <t>Forward P/E Multiple</t>
  </si>
  <si>
    <t>Current Market Price</t>
  </si>
  <si>
    <t>Target Period</t>
  </si>
  <si>
    <t>12 months</t>
  </si>
  <si>
    <t>Watches</t>
  </si>
  <si>
    <t>Jewellery</t>
  </si>
  <si>
    <t>EyeCare</t>
  </si>
  <si>
    <t>Others</t>
  </si>
  <si>
    <t>Corporate (Unallocated)</t>
  </si>
  <si>
    <t>SOURCE: SCREENER</t>
  </si>
  <si>
    <t>SEGMENT REVENUE</t>
  </si>
  <si>
    <t>Segment Total</t>
  </si>
  <si>
    <t>Consolidated Total</t>
  </si>
  <si>
    <t>SOURCE: Titan annual reports</t>
  </si>
  <si>
    <t>SEGMENT EBIT</t>
  </si>
  <si>
    <t>Corporate (unallocated)</t>
  </si>
  <si>
    <t>Consolidated EBIT</t>
  </si>
  <si>
    <t>SEGMENT NET ASSETS</t>
  </si>
  <si>
    <t>SEGMENT ANALYSIS</t>
  </si>
  <si>
    <t>Net Assets</t>
  </si>
  <si>
    <t>EBIT Margins</t>
  </si>
  <si>
    <t>Jewellery revenue as % of total</t>
  </si>
  <si>
    <t>Watches revenue as % of total</t>
  </si>
  <si>
    <t>Caratlane &amp; other subs</t>
  </si>
  <si>
    <t>Equity shares outstanding</t>
  </si>
  <si>
    <t>Gold Sold (Tonnes)</t>
  </si>
  <si>
    <t>Average Price per gm</t>
  </si>
  <si>
    <t>Revenue - Jewellery</t>
  </si>
  <si>
    <t>Jewellery Business Growth: Value vs Volume</t>
  </si>
  <si>
    <t>CAGR</t>
  </si>
  <si>
    <t>Revenue Growth</t>
  </si>
  <si>
    <t>Volume Growth</t>
  </si>
  <si>
    <t>Gold Price Growth</t>
  </si>
  <si>
    <t>Scenario Analysis</t>
  </si>
  <si>
    <t>Bear</t>
  </si>
  <si>
    <t>Base</t>
  </si>
  <si>
    <t>Bull</t>
  </si>
  <si>
    <t>Assigned Probability</t>
  </si>
  <si>
    <t xml:space="preserve">Bear </t>
  </si>
  <si>
    <t>Implied Downside/Upside %</t>
  </si>
  <si>
    <t>Summary</t>
  </si>
  <si>
    <t>Prob weighted Target Price</t>
  </si>
  <si>
    <t>Expected Return Vector</t>
  </si>
  <si>
    <t>Risk/Reward Ratio</t>
  </si>
  <si>
    <t>HOLD</t>
  </si>
  <si>
    <t>Target Price:</t>
  </si>
  <si>
    <t>Downside %:</t>
  </si>
  <si>
    <t>Target Period:</t>
  </si>
  <si>
    <t>Key Historical Financial Metrics</t>
  </si>
  <si>
    <t>Estimates</t>
  </si>
  <si>
    <t>Implied Value / Share</t>
  </si>
  <si>
    <t>P/E Valuation</t>
  </si>
  <si>
    <t>DCF - Exit Multiple</t>
  </si>
  <si>
    <t>Probability weighted Scenario</t>
  </si>
  <si>
    <t>Trading Comps - P/E</t>
  </si>
  <si>
    <t>Trading Comps -  EV/EBITDA</t>
  </si>
  <si>
    <t>CMP: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</si>
</sst>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6" formatCode="&quot;₹&quot;#,##0_);[Red]\(&quot;₹&quot;#,##0\)"/>
    <numFmt numFmtId="7" formatCode="&quot;₹&quot;#,##0.00_);\(&quot;₹&quot;#,##0.00\)"/>
    <numFmt numFmtId="8" formatCode="&quot;₹&quot;#,##0.00_);[Red]\(&quot;₹&quot;#,##0.00\)"/>
    <numFmt numFmtId="43" formatCode="_(* #,##0.00_);_(* \(#,##0.00\);_(* &quot;-&quot;??_);_(@_)"/>
    <numFmt numFmtId="164" formatCode="&quot;₹&quot;#,##0.00_);\(&quot;₹&quot;#,##0.00\);\-"/>
    <numFmt numFmtId="165" formatCode="0.00&quot;x&quot;"/>
    <numFmt numFmtId="166" formatCode="0.000%"/>
    <numFmt numFmtId="167" formatCode="dd\-mmm\-yyyy"/>
    <numFmt numFmtId="168" formatCode="0.00000"/>
    <numFmt numFmtId="169" formatCode="0.0000"/>
    <numFmt numFmtId="170" formatCode="mmm/yy&quot;A&quot;"/>
    <numFmt numFmtId="171" formatCode="mmm/yy&quot;F&quot;"/>
    <numFmt numFmtId="172" formatCode="0.0%"/>
    <numFmt numFmtId="173" formatCode="0.00000000000000%"/>
    <numFmt numFmtId="174" formatCode="0.000"/>
    <numFmt numFmtId="175" formatCode="0.0&quot;x&quot;"/>
    <numFmt numFmtId="176" formatCode="0&quot;x&quot;"/>
    <numFmt numFmtId="177" formatCode="mmm/yy&quot;E&quot;"/>
  </numFmts>
  <fonts count="36" x14ac:knownFonts="1">
    <font>
      <sz val="11"/>
      <color theme="1"/>
      <name val="Calibri"/>
      <family val="2"/>
    </font>
    <font>
      <sz val="11"/>
      <color theme="1"/>
      <name val="Calibri"/>
      <family val="2"/>
    </font>
    <font>
      <b/>
      <sz val="11"/>
      <color theme="1"/>
      <name val="Calibri"/>
      <family val="2"/>
    </font>
    <font>
      <sz val="11"/>
      <color theme="0"/>
      <name val="Calibri"/>
      <family val="2"/>
    </font>
    <font>
      <b/>
      <sz val="10"/>
      <color theme="1"/>
      <name val="Arial"/>
      <family val="2"/>
    </font>
    <font>
      <u/>
      <sz val="10"/>
      <color rgb="FF0563C1"/>
      <name val="Arial"/>
      <family val="2"/>
    </font>
    <font>
      <sz val="10"/>
      <color theme="1"/>
      <name val="Arial"/>
      <family val="2"/>
    </font>
    <font>
      <b/>
      <sz val="10"/>
      <color rgb="FFFFFFFF"/>
      <name val="Arial"/>
      <family val="2"/>
    </font>
    <font>
      <i/>
      <sz val="11"/>
      <color theme="0" tint="-0.34998626667073579"/>
      <name val="Calibri"/>
      <family val="2"/>
    </font>
    <font>
      <i/>
      <sz val="11"/>
      <color theme="1"/>
      <name val="Calibri"/>
      <family val="2"/>
    </font>
    <font>
      <sz val="11"/>
      <color rgb="FF0432FF"/>
      <name val="Calibri"/>
      <family val="2"/>
    </font>
    <font>
      <i/>
      <sz val="9"/>
      <color theme="1"/>
      <name val="Calibri"/>
      <family val="2"/>
    </font>
    <font>
      <sz val="11"/>
      <name val="Calibri"/>
      <family val="2"/>
    </font>
    <font>
      <vertAlign val="superscript"/>
      <sz val="11"/>
      <color theme="1"/>
      <name val="Calibri"/>
      <family val="2"/>
    </font>
    <font>
      <sz val="11"/>
      <color rgb="FF3333FF"/>
      <name val="Calibri"/>
      <family val="2"/>
    </font>
    <font>
      <i/>
      <sz val="10"/>
      <color theme="1"/>
      <name val="Calibri"/>
      <family val="2"/>
    </font>
    <font>
      <b/>
      <sz val="14"/>
      <color theme="1"/>
      <name val="Calibri"/>
      <family val="2"/>
    </font>
    <font>
      <b/>
      <sz val="11"/>
      <color rgb="FF000000"/>
      <name val="Calibri"/>
      <family val="2"/>
    </font>
    <font>
      <b/>
      <sz val="11"/>
      <color rgb="FF0432FF"/>
      <name val="Calibri"/>
      <family val="2"/>
    </font>
    <font>
      <b/>
      <sz val="11"/>
      <color theme="0"/>
      <name val="Calibri"/>
      <family val="2"/>
    </font>
    <font>
      <b/>
      <sz val="11"/>
      <name val="Calibri"/>
      <family val="2"/>
    </font>
    <font>
      <b/>
      <sz val="12"/>
      <color rgb="FF002060"/>
      <name val="Calibri"/>
      <family val="2"/>
    </font>
    <font>
      <i/>
      <sz val="9"/>
      <color theme="0" tint="-0.499984740745262"/>
      <name val="Calibri"/>
      <family val="2"/>
    </font>
    <font>
      <i/>
      <sz val="9"/>
      <name val="Calibri"/>
      <family val="2"/>
    </font>
    <font>
      <i/>
      <sz val="9"/>
      <color theme="0" tint="-0.34998626667073579"/>
      <name val="Calibri"/>
      <family val="2"/>
    </font>
    <font>
      <sz val="10"/>
      <color rgb="FF000000"/>
      <name val="Helvetica Neue"/>
      <family val="2"/>
    </font>
    <font>
      <b/>
      <sz val="10"/>
      <color rgb="FF000000"/>
      <name val="Helvetica Neue"/>
      <family val="2"/>
    </font>
    <font>
      <sz val="11"/>
      <color theme="1"/>
      <name val="Calibri"/>
      <family val="2"/>
      <scheme val="minor"/>
    </font>
    <font>
      <b/>
      <sz val="16"/>
      <color theme="1"/>
      <name val="Calibri"/>
      <family val="2"/>
    </font>
    <font>
      <i/>
      <sz val="8"/>
      <color theme="0" tint="-0.34998626667073579"/>
      <name val="Calibri"/>
      <family val="2"/>
    </font>
    <font>
      <sz val="11"/>
      <color rgb="FF000000"/>
      <name val="Calibri"/>
      <family val="2"/>
    </font>
    <font>
      <sz val="10"/>
      <color rgb="FF002060"/>
      <name val="Calibri"/>
      <family val="2"/>
    </font>
    <font>
      <b/>
      <sz val="11"/>
      <color rgb="FF002060"/>
      <name val="Calibri"/>
      <family val="2"/>
    </font>
    <font>
      <sz val="9"/>
      <color rgb="FF3C3C3E"/>
      <name val="Helvetica"/>
      <family val="2"/>
    </font>
    <font>
      <b/>
      <sz val="9"/>
      <color rgb="FF3C3C3E"/>
      <name val="Helvetica"/>
      <family val="2"/>
    </font>
    <font>
      <b/>
      <sz val="22"/>
      <color rgb="FF002060"/>
      <name val="Calibri"/>
      <family val="2"/>
    </font>
  </fonts>
  <fills count="8">
    <fill>
      <patternFill patternType="none"/>
    </fill>
    <fill>
      <patternFill patternType="gray125"/>
    </fill>
    <fill>
      <patternFill patternType="solid">
        <fgColor theme="4" tint="-0.499984740745262"/>
        <bgColor indexed="64"/>
      </patternFill>
    </fill>
    <fill>
      <patternFill patternType="solid">
        <fgColor theme="4" tint="0.79998168889431442"/>
        <bgColor indexed="64"/>
      </patternFill>
    </fill>
    <fill>
      <patternFill patternType="solid">
        <fgColor rgb="FF002060"/>
        <bgColor indexed="64"/>
      </patternFill>
    </fill>
    <fill>
      <patternFill patternType="solid">
        <fgColor theme="0" tint="-4.9989318521683403E-2"/>
        <bgColor indexed="64"/>
      </patternFill>
    </fill>
    <fill>
      <patternFill patternType="solid">
        <fgColor theme="4" tint="0.59999389629810485"/>
        <bgColor indexed="64"/>
      </patternFill>
    </fill>
    <fill>
      <patternFill patternType="solid">
        <fgColor theme="0" tint="-0.14999847407452621"/>
        <bgColor indexed="64"/>
      </patternFill>
    </fill>
  </fills>
  <borders count="18">
    <border>
      <left/>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right/>
      <top style="dotted">
        <color auto="1"/>
      </top>
      <bottom/>
      <diagonal/>
    </border>
    <border>
      <left/>
      <right/>
      <top/>
      <bottom style="medium">
        <color indexed="64"/>
      </bottom>
      <diagonal/>
    </border>
    <border>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medium">
        <color indexed="64"/>
      </bottom>
      <diagonal/>
    </border>
    <border>
      <left/>
      <right/>
      <top/>
      <bottom style="thin">
        <color theme="0"/>
      </bottom>
      <diagonal/>
    </border>
    <border>
      <left/>
      <right/>
      <top style="hair">
        <color rgb="FF002060"/>
      </top>
      <bottom style="hair">
        <color rgb="FF002060"/>
      </bottom>
      <diagonal/>
    </border>
    <border>
      <left/>
      <right style="thin">
        <color indexed="64"/>
      </right>
      <top/>
      <bottom style="thin">
        <color indexed="64"/>
      </bottom>
      <diagonal/>
    </border>
    <border>
      <left/>
      <right/>
      <top/>
      <bottom style="thin">
        <color rgb="FF002060"/>
      </bottom>
      <diagonal/>
    </border>
    <border>
      <left/>
      <right style="thin">
        <color indexed="64"/>
      </right>
      <top/>
      <bottom/>
      <diagonal/>
    </border>
    <border>
      <left style="thin">
        <color auto="1"/>
      </left>
      <right style="thin">
        <color auto="1"/>
      </right>
      <top/>
      <bottom style="thin">
        <color auto="1"/>
      </bottom>
      <diagonal/>
    </border>
    <border>
      <left style="thin">
        <color auto="1"/>
      </left>
      <right/>
      <top/>
      <bottom/>
      <diagonal/>
    </border>
    <border>
      <left/>
      <right style="thin">
        <color auto="1"/>
      </right>
      <top style="thin">
        <color indexed="64"/>
      </top>
      <bottom style="thin">
        <color indexed="64"/>
      </bottom>
      <diagonal/>
    </border>
    <border>
      <left style="thin">
        <color auto="1"/>
      </left>
      <right style="thin">
        <color indexed="64"/>
      </right>
      <top/>
      <bottom/>
      <diagonal/>
    </border>
  </borders>
  <cellStyleXfs count="3">
    <xf numFmtId="0" fontId="0" fillId="0" borderId="0"/>
    <xf numFmtId="9" fontId="1" fillId="0" borderId="0" applyFont="0" applyFill="0" applyBorder="0" applyAlignment="0" applyProtection="0"/>
    <xf numFmtId="43" fontId="1" fillId="0" borderId="0" applyFont="0" applyFill="0" applyBorder="0" applyAlignment="0" applyProtection="0"/>
  </cellStyleXfs>
  <cellXfs count="285">
    <xf numFmtId="0" fontId="0" fillId="0" borderId="0" xfId="0"/>
    <xf numFmtId="0" fontId="4" fillId="0" borderId="0" xfId="0" applyFont="1"/>
    <xf numFmtId="0" fontId="5" fillId="0" borderId="0" xfId="0" applyFont="1"/>
    <xf numFmtId="0" fontId="6" fillId="0" borderId="0" xfId="0" applyFont="1"/>
    <xf numFmtId="0" fontId="7" fillId="0" borderId="0" xfId="0" applyFont="1"/>
    <xf numFmtId="17" fontId="4" fillId="0" borderId="0" xfId="0" applyNumberFormat="1" applyFont="1"/>
    <xf numFmtId="9" fontId="6" fillId="0" borderId="0" xfId="0" applyNumberFormat="1" applyFont="1"/>
    <xf numFmtId="0" fontId="3" fillId="2" borderId="0" xfId="0" applyFont="1" applyFill="1"/>
    <xf numFmtId="17" fontId="3" fillId="2" borderId="0" xfId="0" applyNumberFormat="1" applyFont="1" applyFill="1"/>
    <xf numFmtId="164" fontId="0" fillId="0" borderId="0" xfId="0" applyNumberFormat="1" applyAlignment="1">
      <alignment horizontal="right"/>
    </xf>
    <xf numFmtId="0" fontId="0" fillId="0" borderId="0" xfId="0" applyAlignment="1">
      <alignment horizontal="right"/>
    </xf>
    <xf numFmtId="10" fontId="8" fillId="0" borderId="0" xfId="1" applyNumberFormat="1" applyFont="1" applyAlignment="1">
      <alignment horizontal="right"/>
    </xf>
    <xf numFmtId="7" fontId="0" fillId="0" borderId="0" xfId="0" applyNumberFormat="1" applyAlignment="1">
      <alignment horizontal="right"/>
    </xf>
    <xf numFmtId="7" fontId="0" fillId="0" borderId="0" xfId="0" applyNumberFormat="1"/>
    <xf numFmtId="4" fontId="6" fillId="0" borderId="0" xfId="0" applyNumberFormat="1" applyFont="1"/>
    <xf numFmtId="10" fontId="8" fillId="0" borderId="0" xfId="1" applyNumberFormat="1" applyFont="1" applyAlignment="1">
      <alignment horizontal="left"/>
    </xf>
    <xf numFmtId="0" fontId="3" fillId="0" borderId="0" xfId="0" applyFont="1"/>
    <xf numFmtId="17" fontId="3" fillId="0" borderId="0" xfId="0" applyNumberFormat="1" applyFont="1"/>
    <xf numFmtId="0" fontId="2" fillId="3" borderId="0" xfId="0" applyFont="1" applyFill="1"/>
    <xf numFmtId="0" fontId="0" fillId="3" borderId="0" xfId="0" applyFill="1"/>
    <xf numFmtId="9" fontId="0" fillId="0" borderId="0" xfId="1" applyFont="1"/>
    <xf numFmtId="17" fontId="0" fillId="0" borderId="0" xfId="0" applyNumberFormat="1"/>
    <xf numFmtId="3" fontId="0" fillId="0" borderId="0" xfId="0" applyNumberFormat="1"/>
    <xf numFmtId="0" fontId="2" fillId="0" borderId="0" xfId="0" applyFont="1"/>
    <xf numFmtId="0" fontId="0" fillId="0" borderId="1" xfId="0" applyBorder="1"/>
    <xf numFmtId="7" fontId="0" fillId="0" borderId="1" xfId="0" applyNumberFormat="1" applyBorder="1"/>
    <xf numFmtId="0" fontId="2" fillId="0" borderId="1" xfId="0" applyFont="1" applyBorder="1"/>
    <xf numFmtId="7" fontId="2" fillId="0" borderId="1" xfId="0" applyNumberFormat="1" applyFont="1" applyBorder="1" applyAlignment="1">
      <alignment horizontal="right"/>
    </xf>
    <xf numFmtId="0" fontId="4" fillId="0" borderId="1" xfId="0" applyFont="1" applyBorder="1"/>
    <xf numFmtId="7" fontId="2" fillId="0" borderId="1" xfId="0" applyNumberFormat="1" applyFont="1" applyBorder="1"/>
    <xf numFmtId="164" fontId="2" fillId="0" borderId="1" xfId="0" applyNumberFormat="1" applyFont="1" applyBorder="1"/>
    <xf numFmtId="10" fontId="0" fillId="0" borderId="0" xfId="1" applyNumberFormat="1" applyFont="1"/>
    <xf numFmtId="165" fontId="0" fillId="0" borderId="0" xfId="0" applyNumberFormat="1"/>
    <xf numFmtId="0" fontId="9" fillId="0" borderId="0" xfId="0" applyFont="1"/>
    <xf numFmtId="1" fontId="0" fillId="0" borderId="0" xfId="0" applyNumberFormat="1"/>
    <xf numFmtId="0" fontId="0" fillId="0" borderId="2" xfId="0" applyBorder="1"/>
    <xf numFmtId="10" fontId="0" fillId="0" borderId="2" xfId="1" applyNumberFormat="1" applyFont="1" applyBorder="1"/>
    <xf numFmtId="0" fontId="0" fillId="0" borderId="3" xfId="0" applyBorder="1"/>
    <xf numFmtId="9" fontId="0" fillId="0" borderId="3" xfId="1" applyFont="1" applyBorder="1" applyAlignment="1">
      <alignment horizontal="right"/>
    </xf>
    <xf numFmtId="10" fontId="0" fillId="0" borderId="3" xfId="1" applyNumberFormat="1" applyFont="1" applyBorder="1"/>
    <xf numFmtId="0" fontId="10" fillId="0" borderId="0" xfId="0" applyFont="1" applyAlignment="1">
      <alignment horizontal="left"/>
    </xf>
    <xf numFmtId="43" fontId="0" fillId="0" borderId="0" xfId="2" applyFont="1"/>
    <xf numFmtId="10" fontId="0" fillId="5" borderId="0" xfId="1" applyNumberFormat="1" applyFont="1" applyFill="1"/>
    <xf numFmtId="0" fontId="0" fillId="5" borderId="0" xfId="0" applyFill="1"/>
    <xf numFmtId="0" fontId="2" fillId="0" borderId="2" xfId="0" applyFont="1" applyBorder="1"/>
    <xf numFmtId="9" fontId="2" fillId="0" borderId="0" xfId="1" applyFont="1" applyBorder="1"/>
    <xf numFmtId="2" fontId="0" fillId="0" borderId="0" xfId="0" applyNumberFormat="1"/>
    <xf numFmtId="0" fontId="11" fillId="0" borderId="0" xfId="0" applyFont="1"/>
    <xf numFmtId="10" fontId="0" fillId="0" borderId="0" xfId="0" applyNumberFormat="1"/>
    <xf numFmtId="10" fontId="0" fillId="5" borderId="0" xfId="0" applyNumberFormat="1" applyFill="1"/>
    <xf numFmtId="0" fontId="0" fillId="0" borderId="4" xfId="0" applyBorder="1"/>
    <xf numFmtId="2" fontId="0" fillId="5" borderId="4" xfId="0" applyNumberFormat="1" applyFill="1" applyBorder="1"/>
    <xf numFmtId="9" fontId="0" fillId="0" borderId="4" xfId="0" applyNumberFormat="1" applyBorder="1"/>
    <xf numFmtId="9" fontId="0" fillId="0" borderId="4" xfId="1" applyFont="1" applyBorder="1"/>
    <xf numFmtId="43" fontId="0" fillId="0" borderId="4" xfId="2" applyFont="1" applyBorder="1" applyAlignment="1">
      <alignment horizontal="right"/>
    </xf>
    <xf numFmtId="166" fontId="0" fillId="0" borderId="0" xfId="0" applyNumberFormat="1"/>
    <xf numFmtId="4" fontId="12" fillId="0" borderId="0" xfId="0" applyNumberFormat="1" applyFont="1"/>
    <xf numFmtId="10" fontId="12" fillId="0" borderId="0" xfId="0" applyNumberFormat="1" applyFont="1"/>
    <xf numFmtId="0" fontId="2" fillId="0" borderId="2" xfId="0" applyFont="1" applyBorder="1" applyAlignment="1">
      <alignment horizontal="right"/>
    </xf>
    <xf numFmtId="10" fontId="0" fillId="5" borderId="4" xfId="1" applyNumberFormat="1" applyFont="1" applyFill="1" applyBorder="1"/>
    <xf numFmtId="10" fontId="0" fillId="5" borderId="4" xfId="0" applyNumberFormat="1" applyFill="1" applyBorder="1"/>
    <xf numFmtId="10" fontId="10" fillId="0" borderId="0" xfId="0" applyNumberFormat="1" applyFont="1"/>
    <xf numFmtId="2" fontId="0" fillId="0" borderId="2" xfId="0" applyNumberFormat="1" applyBorder="1"/>
    <xf numFmtId="10" fontId="0" fillId="0" borderId="2" xfId="1" applyNumberFormat="1" applyFont="1" applyFill="1" applyBorder="1"/>
    <xf numFmtId="10" fontId="0" fillId="0" borderId="2" xfId="0" applyNumberFormat="1" applyBorder="1"/>
    <xf numFmtId="10" fontId="0" fillId="0" borderId="3" xfId="1" applyNumberFormat="1" applyFont="1" applyFill="1" applyBorder="1"/>
    <xf numFmtId="10" fontId="0" fillId="0" borderId="3" xfId="0" applyNumberFormat="1" applyBorder="1"/>
    <xf numFmtId="0" fontId="2" fillId="0" borderId="3" xfId="0" applyFont="1" applyBorder="1"/>
    <xf numFmtId="2" fontId="12" fillId="0" borderId="0" xfId="0" applyNumberFormat="1" applyFont="1"/>
    <xf numFmtId="10" fontId="14" fillId="0" borderId="0" xfId="0" applyNumberFormat="1" applyFont="1"/>
    <xf numFmtId="43" fontId="12" fillId="0" borderId="0" xfId="2" applyFont="1" applyAlignment="1">
      <alignment horizontal="right"/>
    </xf>
    <xf numFmtId="0" fontId="12" fillId="0" borderId="0" xfId="0" applyFont="1" applyAlignment="1">
      <alignment horizontal="right"/>
    </xf>
    <xf numFmtId="0" fontId="14" fillId="0" borderId="0" xfId="0" applyFont="1"/>
    <xf numFmtId="0" fontId="15" fillId="0" borderId="0" xfId="0" applyFont="1"/>
    <xf numFmtId="4" fontId="10" fillId="0" borderId="0" xfId="0" applyNumberFormat="1" applyFont="1"/>
    <xf numFmtId="14" fontId="10" fillId="0" borderId="0" xfId="0" applyNumberFormat="1" applyFont="1" applyAlignment="1">
      <alignment horizontal="left"/>
    </xf>
    <xf numFmtId="167" fontId="10" fillId="0" borderId="0" xfId="0" applyNumberFormat="1" applyFont="1"/>
    <xf numFmtId="4" fontId="0" fillId="0" borderId="0" xfId="0" applyNumberFormat="1"/>
    <xf numFmtId="0" fontId="0" fillId="0" borderId="5" xfId="0" applyBorder="1"/>
    <xf numFmtId="0" fontId="2" fillId="0" borderId="5" xfId="0" applyFont="1" applyBorder="1"/>
    <xf numFmtId="0" fontId="9" fillId="0" borderId="6" xfId="0" applyFont="1" applyBorder="1" applyAlignment="1">
      <alignment horizontal="center"/>
    </xf>
    <xf numFmtId="0" fontId="9" fillId="0" borderId="6" xfId="0" applyFont="1" applyBorder="1" applyAlignment="1">
      <alignment horizontal="centerContinuous"/>
    </xf>
    <xf numFmtId="168" fontId="0" fillId="5" borderId="0" xfId="0" applyNumberFormat="1" applyFill="1"/>
    <xf numFmtId="2" fontId="10" fillId="0" borderId="0" xfId="1" applyNumberFormat="1" applyFont="1"/>
    <xf numFmtId="9" fontId="10" fillId="0" borderId="0" xfId="1" applyFont="1"/>
    <xf numFmtId="169" fontId="2" fillId="0" borderId="0" xfId="0" applyNumberFormat="1" applyFont="1"/>
    <xf numFmtId="169" fontId="0" fillId="0" borderId="0" xfId="0" applyNumberFormat="1"/>
    <xf numFmtId="0" fontId="17" fillId="0" borderId="0" xfId="0" applyFont="1" applyAlignment="1">
      <alignment horizontal="center"/>
    </xf>
    <xf numFmtId="0" fontId="17" fillId="0" borderId="0" xfId="0" applyFont="1"/>
    <xf numFmtId="0" fontId="0" fillId="0" borderId="0" xfId="0" applyAlignment="1">
      <alignment horizontal="left"/>
    </xf>
    <xf numFmtId="10" fontId="10" fillId="0" borderId="0" xfId="1" applyNumberFormat="1" applyFont="1" applyAlignment="1">
      <alignment horizontal="right"/>
    </xf>
    <xf numFmtId="0" fontId="2" fillId="0" borderId="0" xfId="0" applyFont="1" applyAlignment="1">
      <alignment horizontal="right"/>
    </xf>
    <xf numFmtId="0" fontId="2" fillId="0" borderId="0" xfId="0" applyFont="1" applyAlignment="1">
      <alignment horizontal="left"/>
    </xf>
    <xf numFmtId="3" fontId="2" fillId="0" borderId="0" xfId="0" applyNumberFormat="1" applyFont="1"/>
    <xf numFmtId="0" fontId="2" fillId="0" borderId="8" xfId="0" applyFont="1" applyBorder="1"/>
    <xf numFmtId="0" fontId="0" fillId="0" borderId="8" xfId="0" applyBorder="1"/>
    <xf numFmtId="0" fontId="10" fillId="0" borderId="0" xfId="0" applyFont="1"/>
    <xf numFmtId="3" fontId="10" fillId="0" borderId="0" xfId="0" applyNumberFormat="1" applyFont="1"/>
    <xf numFmtId="0" fontId="10" fillId="0" borderId="7" xfId="0" applyFont="1" applyBorder="1"/>
    <xf numFmtId="0" fontId="10" fillId="0" borderId="7" xfId="0" applyFont="1" applyBorder="1" applyAlignment="1">
      <alignment horizontal="left"/>
    </xf>
    <xf numFmtId="43" fontId="10" fillId="0" borderId="7" xfId="2" applyFont="1" applyBorder="1"/>
    <xf numFmtId="0" fontId="18" fillId="0" borderId="0" xfId="0" applyFont="1"/>
    <xf numFmtId="3" fontId="18" fillId="0" borderId="0" xfId="0" applyNumberFormat="1" applyFont="1"/>
    <xf numFmtId="10" fontId="2" fillId="0" borderId="8" xfId="1" applyNumberFormat="1" applyFont="1" applyBorder="1"/>
    <xf numFmtId="9" fontId="0" fillId="0" borderId="0" xfId="0" applyNumberFormat="1"/>
    <xf numFmtId="10" fontId="2" fillId="0" borderId="8" xfId="0" applyNumberFormat="1" applyFont="1" applyBorder="1"/>
    <xf numFmtId="43" fontId="2" fillId="0" borderId="0" xfId="2" applyFont="1"/>
    <xf numFmtId="43" fontId="2" fillId="0" borderId="8" xfId="2" applyFont="1" applyBorder="1"/>
    <xf numFmtId="0" fontId="2" fillId="5" borderId="0" xfId="0" applyFont="1" applyFill="1"/>
    <xf numFmtId="10" fontId="2" fillId="5" borderId="0" xfId="0" applyNumberFormat="1" applyFont="1" applyFill="1"/>
    <xf numFmtId="0" fontId="3" fillId="4" borderId="0" xfId="0" applyFont="1" applyFill="1"/>
    <xf numFmtId="170" fontId="3" fillId="4" borderId="0" xfId="0" applyNumberFormat="1" applyFont="1" applyFill="1"/>
    <xf numFmtId="171" fontId="3" fillId="4" borderId="0" xfId="0" applyNumberFormat="1" applyFont="1" applyFill="1"/>
    <xf numFmtId="43" fontId="0" fillId="0" borderId="0" xfId="0" applyNumberFormat="1"/>
    <xf numFmtId="173" fontId="0" fillId="0" borderId="0" xfId="0" applyNumberFormat="1"/>
    <xf numFmtId="9" fontId="10" fillId="5" borderId="0" xfId="0" applyNumberFormat="1" applyFont="1" applyFill="1"/>
    <xf numFmtId="172" fontId="10" fillId="5" borderId="0" xfId="0" applyNumberFormat="1" applyFont="1" applyFill="1"/>
    <xf numFmtId="172" fontId="0" fillId="0" borderId="0" xfId="0" applyNumberFormat="1"/>
    <xf numFmtId="43" fontId="2" fillId="0" borderId="0" xfId="0" applyNumberFormat="1" applyFont="1"/>
    <xf numFmtId="43" fontId="2" fillId="0" borderId="8" xfId="0" applyNumberFormat="1" applyFont="1" applyBorder="1"/>
    <xf numFmtId="2" fontId="0" fillId="0" borderId="0" xfId="0" applyNumberFormat="1" applyAlignment="1">
      <alignment horizontal="right"/>
    </xf>
    <xf numFmtId="2" fontId="10" fillId="0" borderId="0" xfId="0" applyNumberFormat="1" applyFont="1"/>
    <xf numFmtId="0" fontId="12" fillId="0" borderId="0" xfId="0" applyFont="1"/>
    <xf numFmtId="174" fontId="0" fillId="0" borderId="0" xfId="0" applyNumberFormat="1" applyAlignment="1">
      <alignment horizontal="right"/>
    </xf>
    <xf numFmtId="0" fontId="0" fillId="7" borderId="10" xfId="0" applyFill="1" applyBorder="1" applyAlignment="1">
      <alignment horizontal="left"/>
    </xf>
    <xf numFmtId="2" fontId="0" fillId="7" borderId="10" xfId="0" applyNumberFormat="1" applyFill="1" applyBorder="1" applyAlignment="1">
      <alignment horizontal="right"/>
    </xf>
    <xf numFmtId="0" fontId="0" fillId="7" borderId="10" xfId="0" applyFill="1" applyBorder="1" applyAlignment="1">
      <alignment horizontal="right"/>
    </xf>
    <xf numFmtId="175" fontId="0" fillId="7" borderId="10" xfId="0" applyNumberFormat="1" applyFill="1" applyBorder="1" applyAlignment="1">
      <alignment horizontal="right"/>
    </xf>
    <xf numFmtId="0" fontId="0" fillId="0" borderId="10" xfId="0" applyBorder="1" applyAlignment="1">
      <alignment horizontal="left"/>
    </xf>
    <xf numFmtId="2" fontId="0" fillId="0" borderId="10" xfId="0" applyNumberFormat="1" applyBorder="1" applyAlignment="1">
      <alignment horizontal="right"/>
    </xf>
    <xf numFmtId="0" fontId="0" fillId="0" borderId="10" xfId="0" applyBorder="1" applyAlignment="1">
      <alignment horizontal="right"/>
    </xf>
    <xf numFmtId="175" fontId="0" fillId="0" borderId="10" xfId="0" applyNumberFormat="1" applyBorder="1" applyAlignment="1">
      <alignment horizontal="right"/>
    </xf>
    <xf numFmtId="0" fontId="12" fillId="5" borderId="0" xfId="0" applyFont="1" applyFill="1"/>
    <xf numFmtId="175" fontId="0" fillId="5" borderId="0" xfId="0" applyNumberFormat="1" applyFill="1"/>
    <xf numFmtId="0" fontId="20" fillId="5" borderId="0" xfId="0" applyFont="1" applyFill="1"/>
    <xf numFmtId="175" fontId="2" fillId="5" borderId="0" xfId="0" applyNumberFormat="1" applyFont="1" applyFill="1"/>
    <xf numFmtId="0" fontId="19" fillId="4" borderId="2" xfId="0" applyFont="1" applyFill="1" applyBorder="1"/>
    <xf numFmtId="0" fontId="3" fillId="4" borderId="2" xfId="0" applyFont="1" applyFill="1" applyBorder="1"/>
    <xf numFmtId="0" fontId="0" fillId="4" borderId="0" xfId="0" applyFill="1"/>
    <xf numFmtId="0" fontId="3" fillId="4" borderId="0" xfId="0" applyFont="1" applyFill="1" applyAlignment="1">
      <alignment horizontal="right"/>
    </xf>
    <xf numFmtId="0" fontId="3" fillId="4" borderId="0" xfId="0" applyFont="1" applyFill="1" applyAlignment="1">
      <alignment horizontal="right" wrapText="1"/>
    </xf>
    <xf numFmtId="0" fontId="0" fillId="0" borderId="10" xfId="0" applyBorder="1"/>
    <xf numFmtId="2" fontId="0" fillId="0" borderId="10" xfId="0" applyNumberFormat="1" applyBorder="1"/>
    <xf numFmtId="0" fontId="2" fillId="5" borderId="1" xfId="0" applyFont="1" applyFill="1" applyBorder="1"/>
    <xf numFmtId="0" fontId="2" fillId="0" borderId="0" xfId="0" applyFont="1" applyAlignment="1">
      <alignment wrapText="1"/>
    </xf>
    <xf numFmtId="0" fontId="21" fillId="0" borderId="2" xfId="0" applyFont="1" applyBorder="1"/>
    <xf numFmtId="43" fontId="0" fillId="5" borderId="0" xfId="0" applyNumberFormat="1" applyFill="1" applyAlignment="1">
      <alignment horizontal="right"/>
    </xf>
    <xf numFmtId="43" fontId="0" fillId="0" borderId="0" xfId="0" applyNumberFormat="1" applyAlignment="1">
      <alignment horizontal="right"/>
    </xf>
    <xf numFmtId="10" fontId="0" fillId="5" borderId="0" xfId="0" applyNumberFormat="1" applyFill="1" applyAlignment="1">
      <alignment horizontal="right"/>
    </xf>
    <xf numFmtId="10" fontId="0" fillId="0" borderId="0" xfId="0" applyNumberFormat="1" applyAlignment="1">
      <alignment horizontal="right"/>
    </xf>
    <xf numFmtId="10" fontId="10" fillId="5" borderId="0" xfId="0" applyNumberFormat="1" applyFont="1" applyFill="1" applyAlignment="1">
      <alignment horizontal="right"/>
    </xf>
    <xf numFmtId="43" fontId="0" fillId="5" borderId="1" xfId="0" applyNumberFormat="1" applyFill="1" applyBorder="1" applyAlignment="1">
      <alignment horizontal="right"/>
    </xf>
    <xf numFmtId="43" fontId="0" fillId="0" borderId="1" xfId="0" applyNumberFormat="1" applyBorder="1" applyAlignment="1">
      <alignment horizontal="right"/>
    </xf>
    <xf numFmtId="0" fontId="0" fillId="5" borderId="0" xfId="0" applyFill="1" applyAlignment="1">
      <alignment horizontal="right"/>
    </xf>
    <xf numFmtId="0" fontId="10" fillId="0" borderId="0" xfId="0" applyFont="1" applyAlignment="1">
      <alignment horizontal="right"/>
    </xf>
    <xf numFmtId="0" fontId="0" fillId="5" borderId="8" xfId="0" applyFill="1" applyBorder="1" applyAlignment="1">
      <alignment horizontal="right"/>
    </xf>
    <xf numFmtId="43" fontId="0" fillId="0" borderId="8" xfId="0" applyNumberFormat="1" applyBorder="1" applyAlignment="1">
      <alignment horizontal="right"/>
    </xf>
    <xf numFmtId="0" fontId="22" fillId="0" borderId="0" xfId="0" applyFont="1"/>
    <xf numFmtId="176" fontId="10" fillId="0" borderId="0" xfId="0" applyNumberFormat="1" applyFont="1" applyAlignment="1">
      <alignment horizontal="right"/>
    </xf>
    <xf numFmtId="0" fontId="0" fillId="0" borderId="8" xfId="0" applyBorder="1" applyAlignment="1">
      <alignment horizontal="right"/>
    </xf>
    <xf numFmtId="10" fontId="10" fillId="0" borderId="0" xfId="0" applyNumberFormat="1" applyFont="1" applyAlignment="1">
      <alignment horizontal="right"/>
    </xf>
    <xf numFmtId="0" fontId="23" fillId="0" borderId="0" xfId="0" applyFont="1"/>
    <xf numFmtId="2" fontId="2" fillId="0" borderId="8" xfId="0" applyNumberFormat="1" applyFont="1" applyBorder="1"/>
    <xf numFmtId="165" fontId="2" fillId="0" borderId="0" xfId="1" applyNumberFormat="1" applyFont="1"/>
    <xf numFmtId="164" fontId="2" fillId="0" borderId="8" xfId="0" applyNumberFormat="1" applyFont="1" applyBorder="1"/>
    <xf numFmtId="9" fontId="0" fillId="0" borderId="1" xfId="1" applyFont="1" applyBorder="1"/>
    <xf numFmtId="7" fontId="0" fillId="0" borderId="1" xfId="0" applyNumberFormat="1" applyBorder="1" applyAlignment="1">
      <alignment horizontal="right"/>
    </xf>
    <xf numFmtId="17" fontId="2" fillId="0" borderId="1" xfId="0" applyNumberFormat="1" applyFont="1" applyBorder="1"/>
    <xf numFmtId="17" fontId="2" fillId="0" borderId="0" xfId="0" applyNumberFormat="1" applyFont="1"/>
    <xf numFmtId="10" fontId="0" fillId="0" borderId="0" xfId="1" applyNumberFormat="1" applyFont="1" applyBorder="1"/>
    <xf numFmtId="10" fontId="2" fillId="0" borderId="0" xfId="1" applyNumberFormat="1" applyFont="1" applyBorder="1"/>
    <xf numFmtId="10" fontId="1" fillId="0" borderId="0" xfId="1" applyNumberFormat="1" applyFont="1" applyBorder="1"/>
    <xf numFmtId="0" fontId="17" fillId="0" borderId="8" xfId="0" applyFont="1" applyBorder="1"/>
    <xf numFmtId="10" fontId="2" fillId="5" borderId="8" xfId="1" applyNumberFormat="1" applyFont="1" applyFill="1" applyBorder="1"/>
    <xf numFmtId="43" fontId="2" fillId="0" borderId="1" xfId="2" applyFont="1" applyBorder="1"/>
    <xf numFmtId="9" fontId="10" fillId="0" borderId="0" xfId="1" applyFont="1" applyBorder="1"/>
    <xf numFmtId="43" fontId="3" fillId="0" borderId="0" xfId="0" applyNumberFormat="1" applyFont="1"/>
    <xf numFmtId="172" fontId="10" fillId="0" borderId="0" xfId="1" applyNumberFormat="1" applyFont="1" applyBorder="1"/>
    <xf numFmtId="9" fontId="10" fillId="0" borderId="0" xfId="1" applyFont="1" applyFill="1" applyBorder="1"/>
    <xf numFmtId="172" fontId="10" fillId="0" borderId="2" xfId="1" applyNumberFormat="1" applyFont="1" applyBorder="1"/>
    <xf numFmtId="2" fontId="0" fillId="7" borderId="0" xfId="0" applyNumberFormat="1" applyFill="1"/>
    <xf numFmtId="43" fontId="2" fillId="0" borderId="0" xfId="0" applyNumberFormat="1" applyFont="1" applyAlignment="1">
      <alignment horizontal="right"/>
    </xf>
    <xf numFmtId="2" fontId="0" fillId="0" borderId="0" xfId="1" applyNumberFormat="1" applyFont="1" applyBorder="1"/>
    <xf numFmtId="0" fontId="3" fillId="4" borderId="0" xfId="0" applyFont="1" applyFill="1" applyAlignment="1">
      <alignment horizontal="center"/>
    </xf>
    <xf numFmtId="17" fontId="3" fillId="4" borderId="0" xfId="0" applyNumberFormat="1" applyFont="1" applyFill="1"/>
    <xf numFmtId="0" fontId="24" fillId="0" borderId="0" xfId="0" applyFont="1"/>
    <xf numFmtId="10" fontId="0" fillId="0" borderId="0" xfId="2" applyNumberFormat="1" applyFont="1"/>
    <xf numFmtId="10" fontId="8" fillId="0" borderId="0" xfId="1" applyNumberFormat="1" applyFont="1" applyBorder="1" applyAlignment="1">
      <alignment horizontal="right"/>
    </xf>
    <xf numFmtId="0" fontId="26" fillId="0" borderId="0" xfId="0" applyFont="1"/>
    <xf numFmtId="14" fontId="0" fillId="0" borderId="0" xfId="0" applyNumberFormat="1"/>
    <xf numFmtId="14" fontId="26" fillId="0" borderId="0" xfId="0" applyNumberFormat="1" applyFont="1"/>
    <xf numFmtId="0" fontId="25" fillId="0" borderId="0" xfId="0" applyFont="1"/>
    <xf numFmtId="43" fontId="27" fillId="0" borderId="0" xfId="2" applyFont="1" applyBorder="1"/>
    <xf numFmtId="0" fontId="0" fillId="0" borderId="11" xfId="0" applyBorder="1"/>
    <xf numFmtId="6" fontId="28" fillId="0" borderId="0" xfId="0" applyNumberFormat="1" applyFont="1" applyAlignment="1">
      <alignment horizontal="left"/>
    </xf>
    <xf numFmtId="0" fontId="29" fillId="0" borderId="0" xfId="0" applyFont="1"/>
    <xf numFmtId="10" fontId="2" fillId="0" borderId="0" xfId="1" applyNumberFormat="1" applyFont="1"/>
    <xf numFmtId="17" fontId="30" fillId="0" borderId="0" xfId="0" applyNumberFormat="1" applyFont="1"/>
    <xf numFmtId="17" fontId="17" fillId="0" borderId="0" xfId="0" applyNumberFormat="1" applyFont="1"/>
    <xf numFmtId="17" fontId="3" fillId="4" borderId="0" xfId="0" applyNumberFormat="1" applyFont="1" applyFill="1" applyAlignment="1">
      <alignment horizontal="center"/>
    </xf>
    <xf numFmtId="17" fontId="17" fillId="0" borderId="8" xfId="0" applyNumberFormat="1" applyFont="1" applyBorder="1"/>
    <xf numFmtId="0" fontId="31" fillId="0" borderId="0" xfId="0" applyFont="1" applyAlignment="1">
      <alignment horizontal="center"/>
    </xf>
    <xf numFmtId="0" fontId="32" fillId="0" borderId="12" xfId="0" applyFont="1" applyBorder="1"/>
    <xf numFmtId="0" fontId="0" fillId="0" borderId="12" xfId="0" applyBorder="1"/>
    <xf numFmtId="3" fontId="6" fillId="0" borderId="0" xfId="0" applyNumberFormat="1" applyFont="1"/>
    <xf numFmtId="2" fontId="12" fillId="0" borderId="3" xfId="0" applyNumberFormat="1" applyFont="1" applyBorder="1"/>
    <xf numFmtId="2" fontId="12" fillId="0" borderId="2" xfId="0" applyNumberFormat="1" applyFont="1" applyBorder="1"/>
    <xf numFmtId="10" fontId="0" fillId="0" borderId="0" xfId="1" applyNumberFormat="1" applyFont="1" applyFill="1"/>
    <xf numFmtId="0" fontId="14" fillId="5" borderId="0" xfId="0" applyFont="1" applyFill="1"/>
    <xf numFmtId="0" fontId="12" fillId="5" borderId="0" xfId="0" applyFont="1" applyFill="1" applyAlignment="1">
      <alignment horizontal="right"/>
    </xf>
    <xf numFmtId="43" fontId="12" fillId="5" borderId="0" xfId="2" applyFont="1" applyFill="1" applyAlignment="1">
      <alignment horizontal="right"/>
    </xf>
    <xf numFmtId="10" fontId="14" fillId="5" borderId="0" xfId="0" applyNumberFormat="1" applyFont="1" applyFill="1"/>
    <xf numFmtId="2" fontId="12" fillId="5" borderId="0" xfId="0" applyNumberFormat="1" applyFont="1" applyFill="1"/>
    <xf numFmtId="2" fontId="0" fillId="5" borderId="0" xfId="0" applyNumberFormat="1" applyFill="1"/>
    <xf numFmtId="6" fontId="6" fillId="0" borderId="0" xfId="0" applyNumberFormat="1" applyFont="1"/>
    <xf numFmtId="6" fontId="1" fillId="0" borderId="0" xfId="2" applyNumberFormat="1" applyFont="1"/>
    <xf numFmtId="6" fontId="0" fillId="0" borderId="0" xfId="0" applyNumberFormat="1"/>
    <xf numFmtId="0" fontId="0" fillId="0" borderId="7" xfId="0" applyBorder="1"/>
    <xf numFmtId="10" fontId="8" fillId="0" borderId="0" xfId="1" applyNumberFormat="1" applyFont="1" applyAlignment="1"/>
    <xf numFmtId="176" fontId="0" fillId="0" borderId="0" xfId="0" applyNumberFormat="1"/>
    <xf numFmtId="43" fontId="0" fillId="0" borderId="1" xfId="0" applyNumberFormat="1" applyBorder="1"/>
    <xf numFmtId="43" fontId="2" fillId="7" borderId="1" xfId="0" applyNumberFormat="1" applyFont="1" applyFill="1" applyBorder="1"/>
    <xf numFmtId="10" fontId="0" fillId="0" borderId="1" xfId="1" applyNumberFormat="1" applyFont="1" applyBorder="1"/>
    <xf numFmtId="176" fontId="10" fillId="0" borderId="2" xfId="0" applyNumberFormat="1" applyFont="1" applyBorder="1"/>
    <xf numFmtId="43" fontId="16" fillId="0" borderId="2" xfId="2" applyFont="1" applyBorder="1"/>
    <xf numFmtId="0" fontId="29" fillId="0" borderId="2" xfId="0" applyFont="1" applyBorder="1"/>
    <xf numFmtId="10" fontId="16" fillId="0" borderId="2" xfId="0" applyNumberFormat="1" applyFont="1" applyBorder="1"/>
    <xf numFmtId="43" fontId="16" fillId="0" borderId="2" xfId="2" applyFont="1" applyBorder="1" applyAlignment="1">
      <alignment horizontal="right"/>
    </xf>
    <xf numFmtId="0" fontId="33" fillId="0" borderId="0" xfId="0" applyFont="1"/>
    <xf numFmtId="0" fontId="34" fillId="0" borderId="0" xfId="0" applyFont="1"/>
    <xf numFmtId="9" fontId="2" fillId="0" borderId="3" xfId="1" applyFont="1" applyBorder="1"/>
    <xf numFmtId="9" fontId="2" fillId="0" borderId="2" xfId="1" applyFont="1" applyBorder="1"/>
    <xf numFmtId="0" fontId="0" fillId="0" borderId="15" xfId="0" applyBorder="1"/>
    <xf numFmtId="10" fontId="0" fillId="0" borderId="13" xfId="0" applyNumberFormat="1" applyBorder="1"/>
    <xf numFmtId="2" fontId="0" fillId="0" borderId="13" xfId="0" applyNumberFormat="1" applyBorder="1"/>
    <xf numFmtId="176" fontId="0" fillId="0" borderId="2" xfId="0" applyNumberFormat="1" applyBorder="1"/>
    <xf numFmtId="2" fontId="0" fillId="0" borderId="11" xfId="0" applyNumberFormat="1" applyBorder="1"/>
    <xf numFmtId="10" fontId="1" fillId="0" borderId="2" xfId="1" applyNumberFormat="1" applyFont="1" applyBorder="1"/>
    <xf numFmtId="0" fontId="3" fillId="0" borderId="0" xfId="0" applyFont="1" applyAlignment="1">
      <alignment horizontal="center"/>
    </xf>
    <xf numFmtId="176" fontId="0" fillId="0" borderId="13" xfId="0" applyNumberFormat="1" applyBorder="1"/>
    <xf numFmtId="2" fontId="0" fillId="0" borderId="13" xfId="1" applyNumberFormat="1" applyFont="1" applyBorder="1"/>
    <xf numFmtId="2" fontId="0" fillId="7" borderId="0" xfId="1" applyNumberFormat="1" applyFont="1" applyFill="1" applyBorder="1"/>
    <xf numFmtId="2" fontId="0" fillId="0" borderId="2" xfId="1" applyNumberFormat="1" applyFont="1" applyBorder="1"/>
    <xf numFmtId="2" fontId="0" fillId="0" borderId="11" xfId="1" applyNumberFormat="1" applyFont="1" applyBorder="1"/>
    <xf numFmtId="10" fontId="8" fillId="0" borderId="0" xfId="1" applyNumberFormat="1" applyFont="1" applyFill="1"/>
    <xf numFmtId="10" fontId="2" fillId="0" borderId="0" xfId="1" applyNumberFormat="1" applyFont="1" applyFill="1"/>
    <xf numFmtId="43" fontId="0" fillId="0" borderId="2" xfId="2" applyFont="1" applyBorder="1"/>
    <xf numFmtId="10" fontId="2" fillId="0" borderId="2" xfId="1" applyNumberFormat="1" applyFont="1" applyBorder="1"/>
    <xf numFmtId="10" fontId="8" fillId="0" borderId="2" xfId="1" applyNumberFormat="1" applyFont="1" applyBorder="1" applyAlignment="1">
      <alignment horizontal="left"/>
    </xf>
    <xf numFmtId="10" fontId="8" fillId="0" borderId="2" xfId="1" applyNumberFormat="1" applyFont="1" applyFill="1" applyBorder="1"/>
    <xf numFmtId="171" fontId="3" fillId="4" borderId="13" xfId="0" applyNumberFormat="1" applyFont="1" applyFill="1" applyBorder="1"/>
    <xf numFmtId="43" fontId="2" fillId="0" borderId="1" xfId="0" applyNumberFormat="1" applyFont="1" applyBorder="1"/>
    <xf numFmtId="9" fontId="0" fillId="0" borderId="2" xfId="0" applyNumberFormat="1" applyBorder="1"/>
    <xf numFmtId="9" fontId="10" fillId="0" borderId="2" xfId="0" applyNumberFormat="1" applyFont="1" applyBorder="1"/>
    <xf numFmtId="2" fontId="2" fillId="0" borderId="2" xfId="0" applyNumberFormat="1" applyFont="1" applyBorder="1"/>
    <xf numFmtId="10" fontId="8" fillId="0" borderId="0" xfId="1" applyNumberFormat="1" applyFont="1" applyBorder="1" applyAlignment="1"/>
    <xf numFmtId="10" fontId="2" fillId="0" borderId="1" xfId="1" applyNumberFormat="1" applyFont="1" applyBorder="1"/>
    <xf numFmtId="177" fontId="3" fillId="4" borderId="0" xfId="0" applyNumberFormat="1" applyFont="1" applyFill="1"/>
    <xf numFmtId="43" fontId="0" fillId="0" borderId="0" xfId="0" applyNumberFormat="1" applyAlignment="1">
      <alignment vertical="center"/>
    </xf>
    <xf numFmtId="0" fontId="32" fillId="0" borderId="0" xfId="0" applyFont="1"/>
    <xf numFmtId="43" fontId="32" fillId="0" borderId="0" xfId="0" applyNumberFormat="1" applyFont="1" applyAlignment="1">
      <alignment horizontal="right"/>
    </xf>
    <xf numFmtId="10" fontId="32" fillId="0" borderId="0" xfId="0" applyNumberFormat="1" applyFont="1" applyAlignment="1">
      <alignment horizontal="right"/>
    </xf>
    <xf numFmtId="0" fontId="32" fillId="0" borderId="2" xfId="0" applyFont="1" applyBorder="1"/>
    <xf numFmtId="43" fontId="32" fillId="0" borderId="2" xfId="0" applyNumberFormat="1" applyFont="1" applyBorder="1" applyAlignment="1">
      <alignment horizontal="right"/>
    </xf>
    <xf numFmtId="8" fontId="0" fillId="0" borderId="0" xfId="0" applyNumberFormat="1"/>
    <xf numFmtId="43" fontId="6" fillId="0" borderId="0" xfId="2" applyFont="1"/>
    <xf numFmtId="0" fontId="3" fillId="4" borderId="0" xfId="0" applyFont="1" applyFill="1" applyAlignment="1">
      <alignment horizontal="left"/>
    </xf>
    <xf numFmtId="0" fontId="19" fillId="4" borderId="0" xfId="0" applyFont="1" applyFill="1" applyAlignment="1">
      <alignment horizontal="center"/>
    </xf>
    <xf numFmtId="0" fontId="3" fillId="4" borderId="0" xfId="0" applyFont="1" applyFill="1" applyAlignment="1">
      <alignment horizontal="center"/>
    </xf>
    <xf numFmtId="0" fontId="0" fillId="0" borderId="2" xfId="0" applyBorder="1" applyAlignment="1">
      <alignment horizontal="left" vertical="center" wrapText="1"/>
    </xf>
    <xf numFmtId="0" fontId="0" fillId="0" borderId="0" xfId="0" applyAlignment="1">
      <alignment horizontal="center"/>
    </xf>
    <xf numFmtId="0" fontId="0" fillId="0" borderId="2" xfId="0" applyBorder="1" applyAlignment="1">
      <alignment horizontal="center"/>
    </xf>
    <xf numFmtId="0" fontId="0" fillId="0" borderId="0" xfId="0" applyAlignment="1">
      <alignment horizontal="center" vertical="center"/>
    </xf>
    <xf numFmtId="0" fontId="0" fillId="0" borderId="2" xfId="0" applyBorder="1" applyAlignment="1">
      <alignment horizontal="center" vertical="center"/>
    </xf>
    <xf numFmtId="0" fontId="35" fillId="0" borderId="0" xfId="0" applyFont="1" applyAlignment="1">
      <alignment horizontal="center" vertical="center"/>
    </xf>
    <xf numFmtId="0" fontId="3" fillId="2" borderId="0" xfId="0" applyFont="1" applyFill="1" applyAlignment="1">
      <alignment horizontal="center"/>
    </xf>
    <xf numFmtId="0" fontId="31" fillId="0" borderId="0" xfId="0" applyFont="1" applyAlignment="1">
      <alignment horizontal="center"/>
    </xf>
    <xf numFmtId="0" fontId="16" fillId="6" borderId="0" xfId="0" applyFont="1" applyFill="1" applyAlignment="1">
      <alignment horizontal="left"/>
    </xf>
    <xf numFmtId="0" fontId="0" fillId="0" borderId="17" xfId="0" applyBorder="1" applyAlignment="1">
      <alignment horizontal="center" vertical="center"/>
    </xf>
    <xf numFmtId="0" fontId="0" fillId="0" borderId="14" xfId="0" applyBorder="1" applyAlignment="1">
      <alignment horizontal="center" vertical="center"/>
    </xf>
    <xf numFmtId="0" fontId="0" fillId="0" borderId="1" xfId="0" applyBorder="1" applyAlignment="1">
      <alignment horizontal="center"/>
    </xf>
    <xf numFmtId="0" fontId="0" fillId="0" borderId="16" xfId="0" applyBorder="1" applyAlignment="1">
      <alignment horizontal="center"/>
    </xf>
    <xf numFmtId="0" fontId="3" fillId="4" borderId="9" xfId="0" applyFont="1" applyFill="1" applyBorder="1" applyAlignment="1">
      <alignment horizontal="center"/>
    </xf>
    <xf numFmtId="0" fontId="0" fillId="0" borderId="11" xfId="0" applyBorder="1" applyAlignment="1">
      <alignment horizontal="center"/>
    </xf>
    <xf numFmtId="0" fontId="19" fillId="4" borderId="9" xfId="0" applyFont="1" applyFill="1" applyBorder="1" applyAlignment="1">
      <alignment horizontal="center"/>
    </xf>
  </cellXfs>
  <cellStyles count="3">
    <cellStyle name="Comma" xfId="2" builtinId="3"/>
    <cellStyle name="Normal" xfId="0" builtinId="0"/>
    <cellStyle name="Per cent" xfId="1" builtinId="5"/>
  </cellStyles>
  <dxfs count="0"/>
  <tableStyles count="0" defaultTableStyle="TableStyleMedium2" defaultPivotStyle="PivotStyleLight16"/>
  <colors>
    <mruColors>
      <color rgb="FF0432FF"/>
      <color rgb="FF06B0AB"/>
      <color rgb="FF921685"/>
      <color rgb="FF0F5E6E"/>
      <color rgb="FFFF2F92"/>
      <color rgb="FF00FDFF"/>
      <color rgb="FF94209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5586396956379434E-2"/>
          <c:y val="2.4712821510713568E-2"/>
          <c:w val="0.85943486270505154"/>
          <c:h val="0.81893816708366873"/>
        </c:manualLayout>
      </c:layout>
      <c:lineChart>
        <c:grouping val="standard"/>
        <c:varyColors val="0"/>
        <c:ser>
          <c:idx val="0"/>
          <c:order val="0"/>
          <c:spPr>
            <a:ln w="28575" cap="rnd">
              <a:solidFill>
                <a:srgbClr val="002060"/>
              </a:solidFill>
              <a:round/>
            </a:ln>
            <a:effectLst/>
          </c:spPr>
          <c:marker>
            <c:symbol val="none"/>
          </c:marker>
          <c:cat>
            <c:numRef>
              <c:f>'Hist Share Price'!$B$4:$B$1244</c:f>
              <c:numCache>
                <c:formatCode>m/d/yy</c:formatCode>
                <c:ptCount val="1241"/>
                <c:pt idx="0">
                  <c:v>46261</c:v>
                </c:pt>
                <c:pt idx="1">
                  <c:v>46260</c:v>
                </c:pt>
                <c:pt idx="2">
                  <c:v>46259</c:v>
                </c:pt>
                <c:pt idx="3">
                  <c:v>46258</c:v>
                </c:pt>
                <c:pt idx="4">
                  <c:v>46255</c:v>
                </c:pt>
                <c:pt idx="5">
                  <c:v>46254</c:v>
                </c:pt>
                <c:pt idx="6">
                  <c:v>46253</c:v>
                </c:pt>
                <c:pt idx="7">
                  <c:v>46252</c:v>
                </c:pt>
                <c:pt idx="8">
                  <c:v>46251</c:v>
                </c:pt>
                <c:pt idx="9">
                  <c:v>46248</c:v>
                </c:pt>
                <c:pt idx="10">
                  <c:v>46247</c:v>
                </c:pt>
                <c:pt idx="11">
                  <c:v>46246</c:v>
                </c:pt>
                <c:pt idx="12">
                  <c:v>46245</c:v>
                </c:pt>
                <c:pt idx="13">
                  <c:v>46244</c:v>
                </c:pt>
                <c:pt idx="14">
                  <c:v>46241</c:v>
                </c:pt>
                <c:pt idx="15">
                  <c:v>46240</c:v>
                </c:pt>
                <c:pt idx="16">
                  <c:v>46239</c:v>
                </c:pt>
                <c:pt idx="17">
                  <c:v>46238</c:v>
                </c:pt>
                <c:pt idx="18">
                  <c:v>46237</c:v>
                </c:pt>
                <c:pt idx="19">
                  <c:v>46234</c:v>
                </c:pt>
                <c:pt idx="20">
                  <c:v>46233</c:v>
                </c:pt>
                <c:pt idx="21">
                  <c:v>46232</c:v>
                </c:pt>
                <c:pt idx="22">
                  <c:v>46231</c:v>
                </c:pt>
                <c:pt idx="23">
                  <c:v>46230</c:v>
                </c:pt>
                <c:pt idx="24">
                  <c:v>46227</c:v>
                </c:pt>
                <c:pt idx="25">
                  <c:v>46226</c:v>
                </c:pt>
                <c:pt idx="26">
                  <c:v>46225</c:v>
                </c:pt>
                <c:pt idx="27">
                  <c:v>46224</c:v>
                </c:pt>
                <c:pt idx="28">
                  <c:v>46223</c:v>
                </c:pt>
                <c:pt idx="29">
                  <c:v>46220</c:v>
                </c:pt>
                <c:pt idx="30">
                  <c:v>46219</c:v>
                </c:pt>
                <c:pt idx="31">
                  <c:v>46218</c:v>
                </c:pt>
                <c:pt idx="32">
                  <c:v>46217</c:v>
                </c:pt>
                <c:pt idx="33">
                  <c:v>46216</c:v>
                </c:pt>
                <c:pt idx="34">
                  <c:v>46213</c:v>
                </c:pt>
                <c:pt idx="35">
                  <c:v>46212</c:v>
                </c:pt>
                <c:pt idx="36">
                  <c:v>46211</c:v>
                </c:pt>
                <c:pt idx="37">
                  <c:v>46210</c:v>
                </c:pt>
                <c:pt idx="38">
                  <c:v>46209</c:v>
                </c:pt>
                <c:pt idx="39">
                  <c:v>46206</c:v>
                </c:pt>
                <c:pt idx="40">
                  <c:v>46205</c:v>
                </c:pt>
                <c:pt idx="41">
                  <c:v>46204</c:v>
                </c:pt>
                <c:pt idx="42">
                  <c:v>46203</c:v>
                </c:pt>
                <c:pt idx="43">
                  <c:v>46202</c:v>
                </c:pt>
                <c:pt idx="44">
                  <c:v>46198</c:v>
                </c:pt>
                <c:pt idx="45">
                  <c:v>46197</c:v>
                </c:pt>
                <c:pt idx="46">
                  <c:v>46196</c:v>
                </c:pt>
                <c:pt idx="47">
                  <c:v>46195</c:v>
                </c:pt>
                <c:pt idx="48">
                  <c:v>46192</c:v>
                </c:pt>
                <c:pt idx="49">
                  <c:v>46191</c:v>
                </c:pt>
                <c:pt idx="50">
                  <c:v>46190</c:v>
                </c:pt>
                <c:pt idx="51">
                  <c:v>46189</c:v>
                </c:pt>
                <c:pt idx="52">
                  <c:v>46188</c:v>
                </c:pt>
                <c:pt idx="53">
                  <c:v>46185</c:v>
                </c:pt>
                <c:pt idx="54">
                  <c:v>46184</c:v>
                </c:pt>
                <c:pt idx="55">
                  <c:v>46183</c:v>
                </c:pt>
                <c:pt idx="56">
                  <c:v>46182</c:v>
                </c:pt>
                <c:pt idx="57">
                  <c:v>46181</c:v>
                </c:pt>
                <c:pt idx="58">
                  <c:v>46178</c:v>
                </c:pt>
                <c:pt idx="59">
                  <c:v>46177</c:v>
                </c:pt>
                <c:pt idx="60">
                  <c:v>46176</c:v>
                </c:pt>
                <c:pt idx="61">
                  <c:v>46175</c:v>
                </c:pt>
                <c:pt idx="62">
                  <c:v>46174</c:v>
                </c:pt>
                <c:pt idx="63">
                  <c:v>46171</c:v>
                </c:pt>
                <c:pt idx="64">
                  <c:v>46169</c:v>
                </c:pt>
                <c:pt idx="65">
                  <c:v>46168</c:v>
                </c:pt>
                <c:pt idx="66">
                  <c:v>46167</c:v>
                </c:pt>
                <c:pt idx="67">
                  <c:v>46164</c:v>
                </c:pt>
                <c:pt idx="68">
                  <c:v>46163</c:v>
                </c:pt>
                <c:pt idx="69">
                  <c:v>46162</c:v>
                </c:pt>
                <c:pt idx="70">
                  <c:v>46161</c:v>
                </c:pt>
                <c:pt idx="71">
                  <c:v>46160</c:v>
                </c:pt>
                <c:pt idx="72">
                  <c:v>46157</c:v>
                </c:pt>
                <c:pt idx="73">
                  <c:v>46156</c:v>
                </c:pt>
                <c:pt idx="74">
                  <c:v>46155</c:v>
                </c:pt>
                <c:pt idx="75">
                  <c:v>46154</c:v>
                </c:pt>
                <c:pt idx="76">
                  <c:v>46153</c:v>
                </c:pt>
                <c:pt idx="77">
                  <c:v>46150</c:v>
                </c:pt>
                <c:pt idx="78">
                  <c:v>46149</c:v>
                </c:pt>
                <c:pt idx="79">
                  <c:v>46148</c:v>
                </c:pt>
                <c:pt idx="80">
                  <c:v>46147</c:v>
                </c:pt>
                <c:pt idx="81">
                  <c:v>46146</c:v>
                </c:pt>
                <c:pt idx="82">
                  <c:v>46142</c:v>
                </c:pt>
                <c:pt idx="83">
                  <c:v>46141</c:v>
                </c:pt>
                <c:pt idx="84">
                  <c:v>46140</c:v>
                </c:pt>
                <c:pt idx="85">
                  <c:v>46139</c:v>
                </c:pt>
                <c:pt idx="86">
                  <c:v>46136</c:v>
                </c:pt>
                <c:pt idx="87">
                  <c:v>46135</c:v>
                </c:pt>
                <c:pt idx="88">
                  <c:v>46134</c:v>
                </c:pt>
                <c:pt idx="89">
                  <c:v>46133</c:v>
                </c:pt>
                <c:pt idx="90">
                  <c:v>46132</c:v>
                </c:pt>
                <c:pt idx="91">
                  <c:v>46129</c:v>
                </c:pt>
                <c:pt idx="92">
                  <c:v>46128</c:v>
                </c:pt>
                <c:pt idx="93">
                  <c:v>46127</c:v>
                </c:pt>
                <c:pt idx="94">
                  <c:v>46125</c:v>
                </c:pt>
                <c:pt idx="95">
                  <c:v>46122</c:v>
                </c:pt>
                <c:pt idx="96">
                  <c:v>46121</c:v>
                </c:pt>
                <c:pt idx="97">
                  <c:v>46120</c:v>
                </c:pt>
                <c:pt idx="98">
                  <c:v>46119</c:v>
                </c:pt>
                <c:pt idx="99">
                  <c:v>46118</c:v>
                </c:pt>
                <c:pt idx="100">
                  <c:v>46114</c:v>
                </c:pt>
                <c:pt idx="101">
                  <c:v>46113</c:v>
                </c:pt>
                <c:pt idx="102">
                  <c:v>46111</c:v>
                </c:pt>
                <c:pt idx="103">
                  <c:v>46108</c:v>
                </c:pt>
                <c:pt idx="104">
                  <c:v>46106</c:v>
                </c:pt>
                <c:pt idx="105">
                  <c:v>46105</c:v>
                </c:pt>
                <c:pt idx="106">
                  <c:v>46104</c:v>
                </c:pt>
                <c:pt idx="107">
                  <c:v>46101</c:v>
                </c:pt>
                <c:pt idx="108">
                  <c:v>46100</c:v>
                </c:pt>
                <c:pt idx="109">
                  <c:v>46099</c:v>
                </c:pt>
                <c:pt idx="110">
                  <c:v>46098</c:v>
                </c:pt>
                <c:pt idx="111">
                  <c:v>46097</c:v>
                </c:pt>
                <c:pt idx="112">
                  <c:v>46094</c:v>
                </c:pt>
                <c:pt idx="113">
                  <c:v>46093</c:v>
                </c:pt>
                <c:pt idx="114">
                  <c:v>46092</c:v>
                </c:pt>
                <c:pt idx="115">
                  <c:v>46091</c:v>
                </c:pt>
                <c:pt idx="116">
                  <c:v>46090</c:v>
                </c:pt>
                <c:pt idx="117">
                  <c:v>46087</c:v>
                </c:pt>
                <c:pt idx="118">
                  <c:v>46086</c:v>
                </c:pt>
                <c:pt idx="119">
                  <c:v>46085</c:v>
                </c:pt>
                <c:pt idx="120">
                  <c:v>46083</c:v>
                </c:pt>
                <c:pt idx="121">
                  <c:v>46080</c:v>
                </c:pt>
                <c:pt idx="122">
                  <c:v>46079</c:v>
                </c:pt>
                <c:pt idx="123">
                  <c:v>46078</c:v>
                </c:pt>
                <c:pt idx="124">
                  <c:v>46077</c:v>
                </c:pt>
                <c:pt idx="125">
                  <c:v>46076</c:v>
                </c:pt>
                <c:pt idx="126">
                  <c:v>46073</c:v>
                </c:pt>
                <c:pt idx="127">
                  <c:v>46072</c:v>
                </c:pt>
                <c:pt idx="128">
                  <c:v>46071</c:v>
                </c:pt>
                <c:pt idx="129">
                  <c:v>46070</c:v>
                </c:pt>
                <c:pt idx="130">
                  <c:v>46069</c:v>
                </c:pt>
                <c:pt idx="131">
                  <c:v>46066</c:v>
                </c:pt>
                <c:pt idx="132">
                  <c:v>46065</c:v>
                </c:pt>
                <c:pt idx="133">
                  <c:v>46064</c:v>
                </c:pt>
                <c:pt idx="134">
                  <c:v>46063</c:v>
                </c:pt>
                <c:pt idx="135">
                  <c:v>46062</c:v>
                </c:pt>
                <c:pt idx="136">
                  <c:v>46059</c:v>
                </c:pt>
                <c:pt idx="137">
                  <c:v>46058</c:v>
                </c:pt>
                <c:pt idx="138">
                  <c:v>46057</c:v>
                </c:pt>
                <c:pt idx="139">
                  <c:v>46056</c:v>
                </c:pt>
                <c:pt idx="140">
                  <c:v>46055</c:v>
                </c:pt>
                <c:pt idx="141">
                  <c:v>46054</c:v>
                </c:pt>
                <c:pt idx="142">
                  <c:v>46052</c:v>
                </c:pt>
                <c:pt idx="143">
                  <c:v>46051</c:v>
                </c:pt>
                <c:pt idx="144">
                  <c:v>46050</c:v>
                </c:pt>
                <c:pt idx="145">
                  <c:v>46049</c:v>
                </c:pt>
                <c:pt idx="146">
                  <c:v>46045</c:v>
                </c:pt>
                <c:pt idx="147">
                  <c:v>46044</c:v>
                </c:pt>
                <c:pt idx="148">
                  <c:v>46043</c:v>
                </c:pt>
                <c:pt idx="149">
                  <c:v>46042</c:v>
                </c:pt>
                <c:pt idx="150">
                  <c:v>46041</c:v>
                </c:pt>
                <c:pt idx="151">
                  <c:v>46038</c:v>
                </c:pt>
                <c:pt idx="152">
                  <c:v>46036</c:v>
                </c:pt>
                <c:pt idx="153">
                  <c:v>46035</c:v>
                </c:pt>
                <c:pt idx="154">
                  <c:v>46034</c:v>
                </c:pt>
                <c:pt idx="155">
                  <c:v>46031</c:v>
                </c:pt>
                <c:pt idx="156">
                  <c:v>46030</c:v>
                </c:pt>
                <c:pt idx="157">
                  <c:v>46029</c:v>
                </c:pt>
                <c:pt idx="158">
                  <c:v>46028</c:v>
                </c:pt>
                <c:pt idx="159">
                  <c:v>46027</c:v>
                </c:pt>
                <c:pt idx="160">
                  <c:v>46024</c:v>
                </c:pt>
                <c:pt idx="161">
                  <c:v>46023</c:v>
                </c:pt>
                <c:pt idx="162">
                  <c:v>46022</c:v>
                </c:pt>
                <c:pt idx="163">
                  <c:v>46021</c:v>
                </c:pt>
                <c:pt idx="164">
                  <c:v>46020</c:v>
                </c:pt>
                <c:pt idx="165">
                  <c:v>46017</c:v>
                </c:pt>
                <c:pt idx="166">
                  <c:v>46015</c:v>
                </c:pt>
                <c:pt idx="167">
                  <c:v>46014</c:v>
                </c:pt>
                <c:pt idx="168">
                  <c:v>46013</c:v>
                </c:pt>
                <c:pt idx="169">
                  <c:v>46010</c:v>
                </c:pt>
                <c:pt idx="170">
                  <c:v>46009</c:v>
                </c:pt>
                <c:pt idx="171">
                  <c:v>46008</c:v>
                </c:pt>
                <c:pt idx="172">
                  <c:v>46007</c:v>
                </c:pt>
                <c:pt idx="173">
                  <c:v>46006</c:v>
                </c:pt>
                <c:pt idx="174">
                  <c:v>46003</c:v>
                </c:pt>
                <c:pt idx="175">
                  <c:v>46002</c:v>
                </c:pt>
                <c:pt idx="176">
                  <c:v>46001</c:v>
                </c:pt>
                <c:pt idx="177">
                  <c:v>46000</c:v>
                </c:pt>
                <c:pt idx="178">
                  <c:v>45999</c:v>
                </c:pt>
                <c:pt idx="179">
                  <c:v>45996</c:v>
                </c:pt>
                <c:pt idx="180">
                  <c:v>45995</c:v>
                </c:pt>
                <c:pt idx="181">
                  <c:v>45994</c:v>
                </c:pt>
                <c:pt idx="182">
                  <c:v>45993</c:v>
                </c:pt>
                <c:pt idx="183">
                  <c:v>45992</c:v>
                </c:pt>
                <c:pt idx="184">
                  <c:v>45989</c:v>
                </c:pt>
                <c:pt idx="185">
                  <c:v>45988</c:v>
                </c:pt>
                <c:pt idx="186">
                  <c:v>45987</c:v>
                </c:pt>
                <c:pt idx="187">
                  <c:v>45986</c:v>
                </c:pt>
                <c:pt idx="188">
                  <c:v>45985</c:v>
                </c:pt>
                <c:pt idx="189">
                  <c:v>45982</c:v>
                </c:pt>
                <c:pt idx="190">
                  <c:v>45981</c:v>
                </c:pt>
                <c:pt idx="191">
                  <c:v>45980</c:v>
                </c:pt>
                <c:pt idx="192">
                  <c:v>45979</c:v>
                </c:pt>
                <c:pt idx="193">
                  <c:v>45978</c:v>
                </c:pt>
                <c:pt idx="194">
                  <c:v>45975</c:v>
                </c:pt>
                <c:pt idx="195">
                  <c:v>45974</c:v>
                </c:pt>
                <c:pt idx="196">
                  <c:v>45973</c:v>
                </c:pt>
                <c:pt idx="197">
                  <c:v>45972</c:v>
                </c:pt>
                <c:pt idx="198">
                  <c:v>45971</c:v>
                </c:pt>
                <c:pt idx="199">
                  <c:v>45968</c:v>
                </c:pt>
                <c:pt idx="200">
                  <c:v>45967</c:v>
                </c:pt>
                <c:pt idx="201">
                  <c:v>45965</c:v>
                </c:pt>
                <c:pt idx="202">
                  <c:v>45964</c:v>
                </c:pt>
                <c:pt idx="203">
                  <c:v>45961</c:v>
                </c:pt>
                <c:pt idx="204">
                  <c:v>45960</c:v>
                </c:pt>
                <c:pt idx="205">
                  <c:v>45959</c:v>
                </c:pt>
                <c:pt idx="206">
                  <c:v>45958</c:v>
                </c:pt>
                <c:pt idx="207">
                  <c:v>45957</c:v>
                </c:pt>
                <c:pt idx="208">
                  <c:v>45954</c:v>
                </c:pt>
                <c:pt idx="209">
                  <c:v>45953</c:v>
                </c:pt>
                <c:pt idx="210">
                  <c:v>45951</c:v>
                </c:pt>
                <c:pt idx="211">
                  <c:v>45950</c:v>
                </c:pt>
                <c:pt idx="212">
                  <c:v>45947</c:v>
                </c:pt>
                <c:pt idx="213">
                  <c:v>45946</c:v>
                </c:pt>
                <c:pt idx="214">
                  <c:v>45945</c:v>
                </c:pt>
                <c:pt idx="215">
                  <c:v>45944</c:v>
                </c:pt>
                <c:pt idx="216">
                  <c:v>45943</c:v>
                </c:pt>
                <c:pt idx="217">
                  <c:v>45940</c:v>
                </c:pt>
                <c:pt idx="218">
                  <c:v>45939</c:v>
                </c:pt>
                <c:pt idx="219">
                  <c:v>45938</c:v>
                </c:pt>
                <c:pt idx="220">
                  <c:v>45937</c:v>
                </c:pt>
                <c:pt idx="221">
                  <c:v>45936</c:v>
                </c:pt>
                <c:pt idx="222">
                  <c:v>45933</c:v>
                </c:pt>
                <c:pt idx="223">
                  <c:v>45931</c:v>
                </c:pt>
                <c:pt idx="224">
                  <c:v>45930</c:v>
                </c:pt>
                <c:pt idx="225">
                  <c:v>45929</c:v>
                </c:pt>
                <c:pt idx="226">
                  <c:v>45926</c:v>
                </c:pt>
                <c:pt idx="227">
                  <c:v>45925</c:v>
                </c:pt>
                <c:pt idx="228">
                  <c:v>45924</c:v>
                </c:pt>
                <c:pt idx="229">
                  <c:v>45923</c:v>
                </c:pt>
                <c:pt idx="230">
                  <c:v>45922</c:v>
                </c:pt>
                <c:pt idx="231">
                  <c:v>45919</c:v>
                </c:pt>
                <c:pt idx="232">
                  <c:v>45918</c:v>
                </c:pt>
                <c:pt idx="233">
                  <c:v>45917</c:v>
                </c:pt>
                <c:pt idx="234">
                  <c:v>45916</c:v>
                </c:pt>
                <c:pt idx="235">
                  <c:v>45915</c:v>
                </c:pt>
                <c:pt idx="236">
                  <c:v>45912</c:v>
                </c:pt>
                <c:pt idx="237">
                  <c:v>45911</c:v>
                </c:pt>
                <c:pt idx="238">
                  <c:v>45910</c:v>
                </c:pt>
                <c:pt idx="239">
                  <c:v>45909</c:v>
                </c:pt>
                <c:pt idx="240">
                  <c:v>45908</c:v>
                </c:pt>
                <c:pt idx="241">
                  <c:v>45905</c:v>
                </c:pt>
                <c:pt idx="242">
                  <c:v>45904</c:v>
                </c:pt>
                <c:pt idx="243">
                  <c:v>45903</c:v>
                </c:pt>
                <c:pt idx="244">
                  <c:v>45902</c:v>
                </c:pt>
                <c:pt idx="245">
                  <c:v>45901</c:v>
                </c:pt>
                <c:pt idx="246">
                  <c:v>45898</c:v>
                </c:pt>
                <c:pt idx="247">
                  <c:v>45897</c:v>
                </c:pt>
                <c:pt idx="248">
                  <c:v>45895</c:v>
                </c:pt>
                <c:pt idx="249">
                  <c:v>45894</c:v>
                </c:pt>
                <c:pt idx="250">
                  <c:v>45891</c:v>
                </c:pt>
                <c:pt idx="251">
                  <c:v>45890</c:v>
                </c:pt>
                <c:pt idx="252">
                  <c:v>45889</c:v>
                </c:pt>
                <c:pt idx="253">
                  <c:v>45888</c:v>
                </c:pt>
                <c:pt idx="254">
                  <c:v>45887</c:v>
                </c:pt>
                <c:pt idx="255">
                  <c:v>45883</c:v>
                </c:pt>
                <c:pt idx="256">
                  <c:v>45882</c:v>
                </c:pt>
                <c:pt idx="257">
                  <c:v>45881</c:v>
                </c:pt>
                <c:pt idx="258">
                  <c:v>45880</c:v>
                </c:pt>
                <c:pt idx="259">
                  <c:v>45877</c:v>
                </c:pt>
                <c:pt idx="260">
                  <c:v>45876</c:v>
                </c:pt>
                <c:pt idx="261">
                  <c:v>45875</c:v>
                </c:pt>
                <c:pt idx="262">
                  <c:v>45874</c:v>
                </c:pt>
                <c:pt idx="263">
                  <c:v>45873</c:v>
                </c:pt>
                <c:pt idx="264">
                  <c:v>45870</c:v>
                </c:pt>
                <c:pt idx="265">
                  <c:v>45869</c:v>
                </c:pt>
                <c:pt idx="266">
                  <c:v>45868</c:v>
                </c:pt>
                <c:pt idx="267">
                  <c:v>45867</c:v>
                </c:pt>
                <c:pt idx="268">
                  <c:v>45866</c:v>
                </c:pt>
                <c:pt idx="269">
                  <c:v>45863</c:v>
                </c:pt>
                <c:pt idx="270">
                  <c:v>45862</c:v>
                </c:pt>
                <c:pt idx="271">
                  <c:v>45861</c:v>
                </c:pt>
                <c:pt idx="272">
                  <c:v>45860</c:v>
                </c:pt>
                <c:pt idx="273">
                  <c:v>45859</c:v>
                </c:pt>
                <c:pt idx="274">
                  <c:v>45856</c:v>
                </c:pt>
                <c:pt idx="275">
                  <c:v>45855</c:v>
                </c:pt>
                <c:pt idx="276">
                  <c:v>45854</c:v>
                </c:pt>
                <c:pt idx="277">
                  <c:v>45853</c:v>
                </c:pt>
                <c:pt idx="278">
                  <c:v>45852</c:v>
                </c:pt>
                <c:pt idx="279">
                  <c:v>45849</c:v>
                </c:pt>
                <c:pt idx="280">
                  <c:v>45848</c:v>
                </c:pt>
                <c:pt idx="281">
                  <c:v>45847</c:v>
                </c:pt>
                <c:pt idx="282">
                  <c:v>45846</c:v>
                </c:pt>
                <c:pt idx="283">
                  <c:v>45845</c:v>
                </c:pt>
                <c:pt idx="284">
                  <c:v>45842</c:v>
                </c:pt>
                <c:pt idx="285">
                  <c:v>45841</c:v>
                </c:pt>
                <c:pt idx="286">
                  <c:v>45840</c:v>
                </c:pt>
                <c:pt idx="287">
                  <c:v>45839</c:v>
                </c:pt>
                <c:pt idx="288">
                  <c:v>45838</c:v>
                </c:pt>
                <c:pt idx="289">
                  <c:v>45835</c:v>
                </c:pt>
                <c:pt idx="290">
                  <c:v>45834</c:v>
                </c:pt>
                <c:pt idx="291">
                  <c:v>45833</c:v>
                </c:pt>
                <c:pt idx="292">
                  <c:v>45832</c:v>
                </c:pt>
                <c:pt idx="293">
                  <c:v>45831</c:v>
                </c:pt>
                <c:pt idx="294">
                  <c:v>45828</c:v>
                </c:pt>
                <c:pt idx="295">
                  <c:v>45827</c:v>
                </c:pt>
                <c:pt idx="296">
                  <c:v>45826</c:v>
                </c:pt>
                <c:pt idx="297">
                  <c:v>45825</c:v>
                </c:pt>
                <c:pt idx="298">
                  <c:v>45824</c:v>
                </c:pt>
                <c:pt idx="299">
                  <c:v>45821</c:v>
                </c:pt>
                <c:pt idx="300">
                  <c:v>45820</c:v>
                </c:pt>
                <c:pt idx="301">
                  <c:v>45819</c:v>
                </c:pt>
                <c:pt idx="302">
                  <c:v>45818</c:v>
                </c:pt>
                <c:pt idx="303">
                  <c:v>45817</c:v>
                </c:pt>
                <c:pt idx="304">
                  <c:v>45814</c:v>
                </c:pt>
                <c:pt idx="305">
                  <c:v>45813</c:v>
                </c:pt>
                <c:pt idx="306">
                  <c:v>45812</c:v>
                </c:pt>
                <c:pt idx="307">
                  <c:v>45811</c:v>
                </c:pt>
                <c:pt idx="308">
                  <c:v>45810</c:v>
                </c:pt>
                <c:pt idx="309">
                  <c:v>45807</c:v>
                </c:pt>
                <c:pt idx="310">
                  <c:v>45806</c:v>
                </c:pt>
                <c:pt idx="311">
                  <c:v>45805</c:v>
                </c:pt>
                <c:pt idx="312">
                  <c:v>45804</c:v>
                </c:pt>
                <c:pt idx="313">
                  <c:v>45803</c:v>
                </c:pt>
                <c:pt idx="314">
                  <c:v>45800</c:v>
                </c:pt>
                <c:pt idx="315">
                  <c:v>45799</c:v>
                </c:pt>
                <c:pt idx="316">
                  <c:v>45798</c:v>
                </c:pt>
                <c:pt idx="317">
                  <c:v>45797</c:v>
                </c:pt>
                <c:pt idx="318">
                  <c:v>45796</c:v>
                </c:pt>
                <c:pt idx="319">
                  <c:v>45793</c:v>
                </c:pt>
                <c:pt idx="320">
                  <c:v>45792</c:v>
                </c:pt>
                <c:pt idx="321">
                  <c:v>45791</c:v>
                </c:pt>
                <c:pt idx="322">
                  <c:v>45790</c:v>
                </c:pt>
                <c:pt idx="323">
                  <c:v>45789</c:v>
                </c:pt>
                <c:pt idx="324">
                  <c:v>45786</c:v>
                </c:pt>
                <c:pt idx="325">
                  <c:v>45785</c:v>
                </c:pt>
                <c:pt idx="326">
                  <c:v>45784</c:v>
                </c:pt>
                <c:pt idx="327">
                  <c:v>45783</c:v>
                </c:pt>
                <c:pt idx="328">
                  <c:v>45782</c:v>
                </c:pt>
                <c:pt idx="329">
                  <c:v>45779</c:v>
                </c:pt>
                <c:pt idx="330">
                  <c:v>45777</c:v>
                </c:pt>
                <c:pt idx="331">
                  <c:v>45776</c:v>
                </c:pt>
                <c:pt idx="332">
                  <c:v>45775</c:v>
                </c:pt>
                <c:pt idx="333">
                  <c:v>45772</c:v>
                </c:pt>
                <c:pt idx="334">
                  <c:v>45771</c:v>
                </c:pt>
                <c:pt idx="335">
                  <c:v>45770</c:v>
                </c:pt>
                <c:pt idx="336">
                  <c:v>45769</c:v>
                </c:pt>
                <c:pt idx="337">
                  <c:v>45768</c:v>
                </c:pt>
                <c:pt idx="338">
                  <c:v>45764</c:v>
                </c:pt>
                <c:pt idx="339">
                  <c:v>45763</c:v>
                </c:pt>
                <c:pt idx="340">
                  <c:v>45762</c:v>
                </c:pt>
                <c:pt idx="341">
                  <c:v>45758</c:v>
                </c:pt>
                <c:pt idx="342">
                  <c:v>45756</c:v>
                </c:pt>
                <c:pt idx="343">
                  <c:v>45755</c:v>
                </c:pt>
                <c:pt idx="344">
                  <c:v>45754</c:v>
                </c:pt>
                <c:pt idx="345">
                  <c:v>45751</c:v>
                </c:pt>
                <c:pt idx="346">
                  <c:v>45750</c:v>
                </c:pt>
                <c:pt idx="347">
                  <c:v>45749</c:v>
                </c:pt>
                <c:pt idx="348">
                  <c:v>45748</c:v>
                </c:pt>
                <c:pt idx="349">
                  <c:v>45744</c:v>
                </c:pt>
                <c:pt idx="350">
                  <c:v>45743</c:v>
                </c:pt>
                <c:pt idx="351">
                  <c:v>45742</c:v>
                </c:pt>
                <c:pt idx="352">
                  <c:v>45741</c:v>
                </c:pt>
                <c:pt idx="353">
                  <c:v>45740</c:v>
                </c:pt>
                <c:pt idx="354">
                  <c:v>45737</c:v>
                </c:pt>
                <c:pt idx="355">
                  <c:v>45736</c:v>
                </c:pt>
                <c:pt idx="356">
                  <c:v>45735</c:v>
                </c:pt>
                <c:pt idx="357">
                  <c:v>45734</c:v>
                </c:pt>
                <c:pt idx="358">
                  <c:v>45733</c:v>
                </c:pt>
                <c:pt idx="359">
                  <c:v>45729</c:v>
                </c:pt>
                <c:pt idx="360">
                  <c:v>45728</c:v>
                </c:pt>
                <c:pt idx="361">
                  <c:v>45727</c:v>
                </c:pt>
                <c:pt idx="362">
                  <c:v>45726</c:v>
                </c:pt>
                <c:pt idx="363">
                  <c:v>45723</c:v>
                </c:pt>
                <c:pt idx="364">
                  <c:v>45722</c:v>
                </c:pt>
                <c:pt idx="365">
                  <c:v>45721</c:v>
                </c:pt>
                <c:pt idx="366">
                  <c:v>45720</c:v>
                </c:pt>
                <c:pt idx="367">
                  <c:v>45719</c:v>
                </c:pt>
                <c:pt idx="368">
                  <c:v>45716</c:v>
                </c:pt>
                <c:pt idx="369">
                  <c:v>45715</c:v>
                </c:pt>
                <c:pt idx="370">
                  <c:v>45713</c:v>
                </c:pt>
                <c:pt idx="371">
                  <c:v>45712</c:v>
                </c:pt>
                <c:pt idx="372">
                  <c:v>45709</c:v>
                </c:pt>
                <c:pt idx="373">
                  <c:v>45708</c:v>
                </c:pt>
                <c:pt idx="374">
                  <c:v>45707</c:v>
                </c:pt>
                <c:pt idx="375">
                  <c:v>45706</c:v>
                </c:pt>
                <c:pt idx="376">
                  <c:v>45705</c:v>
                </c:pt>
                <c:pt idx="377">
                  <c:v>45702</c:v>
                </c:pt>
                <c:pt idx="378">
                  <c:v>45701</c:v>
                </c:pt>
                <c:pt idx="379">
                  <c:v>45700</c:v>
                </c:pt>
                <c:pt idx="380">
                  <c:v>45699</c:v>
                </c:pt>
                <c:pt idx="381">
                  <c:v>45698</c:v>
                </c:pt>
                <c:pt idx="382">
                  <c:v>45695</c:v>
                </c:pt>
                <c:pt idx="383">
                  <c:v>45694</c:v>
                </c:pt>
                <c:pt idx="384">
                  <c:v>45693</c:v>
                </c:pt>
                <c:pt idx="385">
                  <c:v>45692</c:v>
                </c:pt>
                <c:pt idx="386">
                  <c:v>45691</c:v>
                </c:pt>
                <c:pt idx="387">
                  <c:v>45689</c:v>
                </c:pt>
                <c:pt idx="388">
                  <c:v>45688</c:v>
                </c:pt>
                <c:pt idx="389">
                  <c:v>45687</c:v>
                </c:pt>
                <c:pt idx="390">
                  <c:v>45686</c:v>
                </c:pt>
                <c:pt idx="391">
                  <c:v>45685</c:v>
                </c:pt>
                <c:pt idx="392">
                  <c:v>45684</c:v>
                </c:pt>
                <c:pt idx="393">
                  <c:v>45681</c:v>
                </c:pt>
                <c:pt idx="394">
                  <c:v>45680</c:v>
                </c:pt>
                <c:pt idx="395">
                  <c:v>45679</c:v>
                </c:pt>
                <c:pt idx="396">
                  <c:v>45678</c:v>
                </c:pt>
                <c:pt idx="397">
                  <c:v>45677</c:v>
                </c:pt>
                <c:pt idx="398">
                  <c:v>45674</c:v>
                </c:pt>
                <c:pt idx="399">
                  <c:v>45673</c:v>
                </c:pt>
                <c:pt idx="400">
                  <c:v>45672</c:v>
                </c:pt>
                <c:pt idx="401">
                  <c:v>45671</c:v>
                </c:pt>
                <c:pt idx="402">
                  <c:v>45670</c:v>
                </c:pt>
                <c:pt idx="403">
                  <c:v>45667</c:v>
                </c:pt>
                <c:pt idx="404">
                  <c:v>45666</c:v>
                </c:pt>
                <c:pt idx="405">
                  <c:v>45665</c:v>
                </c:pt>
                <c:pt idx="406">
                  <c:v>45664</c:v>
                </c:pt>
                <c:pt idx="407">
                  <c:v>45663</c:v>
                </c:pt>
                <c:pt idx="408">
                  <c:v>45660</c:v>
                </c:pt>
                <c:pt idx="409">
                  <c:v>45659</c:v>
                </c:pt>
                <c:pt idx="410">
                  <c:v>45658</c:v>
                </c:pt>
                <c:pt idx="411">
                  <c:v>45657</c:v>
                </c:pt>
                <c:pt idx="412">
                  <c:v>45656</c:v>
                </c:pt>
                <c:pt idx="413">
                  <c:v>45653</c:v>
                </c:pt>
                <c:pt idx="414">
                  <c:v>45652</c:v>
                </c:pt>
                <c:pt idx="415">
                  <c:v>45650</c:v>
                </c:pt>
                <c:pt idx="416">
                  <c:v>45649</c:v>
                </c:pt>
                <c:pt idx="417">
                  <c:v>45646</c:v>
                </c:pt>
                <c:pt idx="418">
                  <c:v>45645</c:v>
                </c:pt>
                <c:pt idx="419">
                  <c:v>45644</c:v>
                </c:pt>
                <c:pt idx="420">
                  <c:v>45643</c:v>
                </c:pt>
                <c:pt idx="421">
                  <c:v>45642</c:v>
                </c:pt>
                <c:pt idx="422">
                  <c:v>45639</c:v>
                </c:pt>
                <c:pt idx="423">
                  <c:v>45638</c:v>
                </c:pt>
                <c:pt idx="424">
                  <c:v>45637</c:v>
                </c:pt>
                <c:pt idx="425">
                  <c:v>45636</c:v>
                </c:pt>
                <c:pt idx="426">
                  <c:v>45635</c:v>
                </c:pt>
                <c:pt idx="427">
                  <c:v>45632</c:v>
                </c:pt>
                <c:pt idx="428">
                  <c:v>45631</c:v>
                </c:pt>
                <c:pt idx="429">
                  <c:v>45630</c:v>
                </c:pt>
                <c:pt idx="430">
                  <c:v>45629</c:v>
                </c:pt>
                <c:pt idx="431">
                  <c:v>45628</c:v>
                </c:pt>
                <c:pt idx="432">
                  <c:v>45625</c:v>
                </c:pt>
                <c:pt idx="433">
                  <c:v>45624</c:v>
                </c:pt>
                <c:pt idx="434">
                  <c:v>45623</c:v>
                </c:pt>
                <c:pt idx="435">
                  <c:v>45622</c:v>
                </c:pt>
                <c:pt idx="436">
                  <c:v>45621</c:v>
                </c:pt>
                <c:pt idx="437">
                  <c:v>45618</c:v>
                </c:pt>
                <c:pt idx="438">
                  <c:v>45617</c:v>
                </c:pt>
                <c:pt idx="439">
                  <c:v>45615</c:v>
                </c:pt>
                <c:pt idx="440">
                  <c:v>45614</c:v>
                </c:pt>
                <c:pt idx="441">
                  <c:v>45610</c:v>
                </c:pt>
                <c:pt idx="442">
                  <c:v>45609</c:v>
                </c:pt>
                <c:pt idx="443">
                  <c:v>45608</c:v>
                </c:pt>
                <c:pt idx="444">
                  <c:v>45607</c:v>
                </c:pt>
                <c:pt idx="445">
                  <c:v>45604</c:v>
                </c:pt>
                <c:pt idx="446">
                  <c:v>45603</c:v>
                </c:pt>
                <c:pt idx="447">
                  <c:v>45602</c:v>
                </c:pt>
                <c:pt idx="448">
                  <c:v>45601</c:v>
                </c:pt>
                <c:pt idx="449">
                  <c:v>45600</c:v>
                </c:pt>
                <c:pt idx="450">
                  <c:v>45597</c:v>
                </c:pt>
                <c:pt idx="451">
                  <c:v>45596</c:v>
                </c:pt>
                <c:pt idx="452">
                  <c:v>45595</c:v>
                </c:pt>
                <c:pt idx="453">
                  <c:v>45594</c:v>
                </c:pt>
                <c:pt idx="454">
                  <c:v>45593</c:v>
                </c:pt>
                <c:pt idx="455">
                  <c:v>45590</c:v>
                </c:pt>
                <c:pt idx="456">
                  <c:v>45589</c:v>
                </c:pt>
                <c:pt idx="457">
                  <c:v>45588</c:v>
                </c:pt>
                <c:pt idx="458">
                  <c:v>45587</c:v>
                </c:pt>
                <c:pt idx="459">
                  <c:v>45586</c:v>
                </c:pt>
                <c:pt idx="460">
                  <c:v>45583</c:v>
                </c:pt>
                <c:pt idx="461">
                  <c:v>45582</c:v>
                </c:pt>
                <c:pt idx="462">
                  <c:v>45581</c:v>
                </c:pt>
                <c:pt idx="463">
                  <c:v>45580</c:v>
                </c:pt>
                <c:pt idx="464">
                  <c:v>45579</c:v>
                </c:pt>
                <c:pt idx="465">
                  <c:v>45576</c:v>
                </c:pt>
                <c:pt idx="466">
                  <c:v>45575</c:v>
                </c:pt>
                <c:pt idx="467">
                  <c:v>45574</c:v>
                </c:pt>
                <c:pt idx="468">
                  <c:v>45573</c:v>
                </c:pt>
                <c:pt idx="469">
                  <c:v>45572</c:v>
                </c:pt>
                <c:pt idx="470">
                  <c:v>45569</c:v>
                </c:pt>
                <c:pt idx="471">
                  <c:v>45568</c:v>
                </c:pt>
                <c:pt idx="472">
                  <c:v>45566</c:v>
                </c:pt>
                <c:pt idx="473">
                  <c:v>45565</c:v>
                </c:pt>
                <c:pt idx="474">
                  <c:v>45562</c:v>
                </c:pt>
                <c:pt idx="475">
                  <c:v>45561</c:v>
                </c:pt>
                <c:pt idx="476">
                  <c:v>45560</c:v>
                </c:pt>
                <c:pt idx="477">
                  <c:v>45559</c:v>
                </c:pt>
                <c:pt idx="478">
                  <c:v>45558</c:v>
                </c:pt>
                <c:pt idx="479">
                  <c:v>45555</c:v>
                </c:pt>
                <c:pt idx="480">
                  <c:v>45554</c:v>
                </c:pt>
                <c:pt idx="481">
                  <c:v>45553</c:v>
                </c:pt>
                <c:pt idx="482">
                  <c:v>45552</c:v>
                </c:pt>
                <c:pt idx="483">
                  <c:v>45551</c:v>
                </c:pt>
                <c:pt idx="484">
                  <c:v>45548</c:v>
                </c:pt>
                <c:pt idx="485">
                  <c:v>45547</c:v>
                </c:pt>
                <c:pt idx="486">
                  <c:v>45546</c:v>
                </c:pt>
                <c:pt idx="487">
                  <c:v>45545</c:v>
                </c:pt>
                <c:pt idx="488">
                  <c:v>45544</c:v>
                </c:pt>
                <c:pt idx="489">
                  <c:v>45541</c:v>
                </c:pt>
                <c:pt idx="490">
                  <c:v>45540</c:v>
                </c:pt>
                <c:pt idx="491">
                  <c:v>45539</c:v>
                </c:pt>
                <c:pt idx="492">
                  <c:v>45538</c:v>
                </c:pt>
                <c:pt idx="493">
                  <c:v>45537</c:v>
                </c:pt>
                <c:pt idx="494">
                  <c:v>45534</c:v>
                </c:pt>
                <c:pt idx="495">
                  <c:v>45533</c:v>
                </c:pt>
                <c:pt idx="496">
                  <c:v>45532</c:v>
                </c:pt>
                <c:pt idx="497">
                  <c:v>45531</c:v>
                </c:pt>
                <c:pt idx="498">
                  <c:v>45530</c:v>
                </c:pt>
                <c:pt idx="499">
                  <c:v>45527</c:v>
                </c:pt>
                <c:pt idx="500">
                  <c:v>45526</c:v>
                </c:pt>
                <c:pt idx="501">
                  <c:v>45525</c:v>
                </c:pt>
                <c:pt idx="502">
                  <c:v>45524</c:v>
                </c:pt>
                <c:pt idx="503">
                  <c:v>45523</c:v>
                </c:pt>
                <c:pt idx="504">
                  <c:v>45520</c:v>
                </c:pt>
                <c:pt idx="505">
                  <c:v>45518</c:v>
                </c:pt>
                <c:pt idx="506">
                  <c:v>45517</c:v>
                </c:pt>
                <c:pt idx="507">
                  <c:v>45516</c:v>
                </c:pt>
                <c:pt idx="508">
                  <c:v>45513</c:v>
                </c:pt>
                <c:pt idx="509">
                  <c:v>45512</c:v>
                </c:pt>
                <c:pt idx="510">
                  <c:v>45511</c:v>
                </c:pt>
                <c:pt idx="511">
                  <c:v>45510</c:v>
                </c:pt>
                <c:pt idx="512">
                  <c:v>45509</c:v>
                </c:pt>
                <c:pt idx="513">
                  <c:v>45506</c:v>
                </c:pt>
                <c:pt idx="514">
                  <c:v>45505</c:v>
                </c:pt>
                <c:pt idx="515">
                  <c:v>45504</c:v>
                </c:pt>
                <c:pt idx="516">
                  <c:v>45503</c:v>
                </c:pt>
                <c:pt idx="517">
                  <c:v>45502</c:v>
                </c:pt>
                <c:pt idx="518">
                  <c:v>45499</c:v>
                </c:pt>
                <c:pt idx="519">
                  <c:v>45498</c:v>
                </c:pt>
                <c:pt idx="520">
                  <c:v>45497</c:v>
                </c:pt>
                <c:pt idx="521">
                  <c:v>45496</c:v>
                </c:pt>
                <c:pt idx="522">
                  <c:v>45495</c:v>
                </c:pt>
                <c:pt idx="523">
                  <c:v>45492</c:v>
                </c:pt>
                <c:pt idx="524">
                  <c:v>45491</c:v>
                </c:pt>
                <c:pt idx="525">
                  <c:v>45489</c:v>
                </c:pt>
                <c:pt idx="526">
                  <c:v>45488</c:v>
                </c:pt>
                <c:pt idx="527">
                  <c:v>45485</c:v>
                </c:pt>
                <c:pt idx="528">
                  <c:v>45484</c:v>
                </c:pt>
                <c:pt idx="529">
                  <c:v>45483</c:v>
                </c:pt>
                <c:pt idx="530">
                  <c:v>45482</c:v>
                </c:pt>
                <c:pt idx="531">
                  <c:v>45481</c:v>
                </c:pt>
                <c:pt idx="532">
                  <c:v>45478</c:v>
                </c:pt>
                <c:pt idx="533">
                  <c:v>45477</c:v>
                </c:pt>
                <c:pt idx="534">
                  <c:v>45476</c:v>
                </c:pt>
                <c:pt idx="535">
                  <c:v>45475</c:v>
                </c:pt>
                <c:pt idx="536">
                  <c:v>45474</c:v>
                </c:pt>
                <c:pt idx="537">
                  <c:v>45471</c:v>
                </c:pt>
                <c:pt idx="538">
                  <c:v>45470</c:v>
                </c:pt>
                <c:pt idx="539">
                  <c:v>45469</c:v>
                </c:pt>
                <c:pt idx="540">
                  <c:v>45468</c:v>
                </c:pt>
                <c:pt idx="541">
                  <c:v>45467</c:v>
                </c:pt>
                <c:pt idx="542">
                  <c:v>45464</c:v>
                </c:pt>
                <c:pt idx="543">
                  <c:v>45463</c:v>
                </c:pt>
                <c:pt idx="544">
                  <c:v>45462</c:v>
                </c:pt>
                <c:pt idx="545">
                  <c:v>45461</c:v>
                </c:pt>
                <c:pt idx="546">
                  <c:v>45457</c:v>
                </c:pt>
                <c:pt idx="547">
                  <c:v>45456</c:v>
                </c:pt>
                <c:pt idx="548">
                  <c:v>45455</c:v>
                </c:pt>
                <c:pt idx="549">
                  <c:v>45454</c:v>
                </c:pt>
                <c:pt idx="550">
                  <c:v>45453</c:v>
                </c:pt>
                <c:pt idx="551">
                  <c:v>45450</c:v>
                </c:pt>
                <c:pt idx="552">
                  <c:v>45449</c:v>
                </c:pt>
                <c:pt idx="553">
                  <c:v>45448</c:v>
                </c:pt>
                <c:pt idx="554">
                  <c:v>45447</c:v>
                </c:pt>
                <c:pt idx="555">
                  <c:v>45446</c:v>
                </c:pt>
                <c:pt idx="556">
                  <c:v>45443</c:v>
                </c:pt>
                <c:pt idx="557">
                  <c:v>45442</c:v>
                </c:pt>
                <c:pt idx="558">
                  <c:v>45441</c:v>
                </c:pt>
                <c:pt idx="559">
                  <c:v>45440</c:v>
                </c:pt>
                <c:pt idx="560">
                  <c:v>45439</c:v>
                </c:pt>
                <c:pt idx="561">
                  <c:v>45436</c:v>
                </c:pt>
                <c:pt idx="562">
                  <c:v>45435</c:v>
                </c:pt>
                <c:pt idx="563">
                  <c:v>45434</c:v>
                </c:pt>
                <c:pt idx="564">
                  <c:v>45433</c:v>
                </c:pt>
                <c:pt idx="565">
                  <c:v>45430</c:v>
                </c:pt>
                <c:pt idx="566">
                  <c:v>45429</c:v>
                </c:pt>
                <c:pt idx="567">
                  <c:v>45428</c:v>
                </c:pt>
                <c:pt idx="568">
                  <c:v>45427</c:v>
                </c:pt>
                <c:pt idx="569">
                  <c:v>45426</c:v>
                </c:pt>
                <c:pt idx="570">
                  <c:v>45425</c:v>
                </c:pt>
                <c:pt idx="571">
                  <c:v>45422</c:v>
                </c:pt>
                <c:pt idx="572">
                  <c:v>45421</c:v>
                </c:pt>
                <c:pt idx="573">
                  <c:v>45420</c:v>
                </c:pt>
                <c:pt idx="574">
                  <c:v>45419</c:v>
                </c:pt>
                <c:pt idx="575">
                  <c:v>45418</c:v>
                </c:pt>
                <c:pt idx="576">
                  <c:v>45415</c:v>
                </c:pt>
                <c:pt idx="577">
                  <c:v>45414</c:v>
                </c:pt>
                <c:pt idx="578">
                  <c:v>45412</c:v>
                </c:pt>
                <c:pt idx="579">
                  <c:v>45411</c:v>
                </c:pt>
                <c:pt idx="580">
                  <c:v>45408</c:v>
                </c:pt>
                <c:pt idx="581">
                  <c:v>45407</c:v>
                </c:pt>
                <c:pt idx="582">
                  <c:v>45406</c:v>
                </c:pt>
                <c:pt idx="583">
                  <c:v>45405</c:v>
                </c:pt>
                <c:pt idx="584">
                  <c:v>45404</c:v>
                </c:pt>
                <c:pt idx="585">
                  <c:v>45401</c:v>
                </c:pt>
                <c:pt idx="586">
                  <c:v>45400</c:v>
                </c:pt>
                <c:pt idx="587">
                  <c:v>45398</c:v>
                </c:pt>
                <c:pt idx="588">
                  <c:v>45397</c:v>
                </c:pt>
                <c:pt idx="589">
                  <c:v>45394</c:v>
                </c:pt>
                <c:pt idx="590">
                  <c:v>45392</c:v>
                </c:pt>
                <c:pt idx="591">
                  <c:v>45391</c:v>
                </c:pt>
                <c:pt idx="592">
                  <c:v>45390</c:v>
                </c:pt>
                <c:pt idx="593">
                  <c:v>45387</c:v>
                </c:pt>
                <c:pt idx="594">
                  <c:v>45386</c:v>
                </c:pt>
                <c:pt idx="595">
                  <c:v>45385</c:v>
                </c:pt>
                <c:pt idx="596">
                  <c:v>45384</c:v>
                </c:pt>
                <c:pt idx="597">
                  <c:v>45383</c:v>
                </c:pt>
                <c:pt idx="598">
                  <c:v>45379</c:v>
                </c:pt>
                <c:pt idx="599">
                  <c:v>45378</c:v>
                </c:pt>
                <c:pt idx="600">
                  <c:v>45377</c:v>
                </c:pt>
                <c:pt idx="601">
                  <c:v>45373</c:v>
                </c:pt>
                <c:pt idx="602">
                  <c:v>45372</c:v>
                </c:pt>
                <c:pt idx="603">
                  <c:v>45371</c:v>
                </c:pt>
                <c:pt idx="604">
                  <c:v>45370</c:v>
                </c:pt>
                <c:pt idx="605">
                  <c:v>45369</c:v>
                </c:pt>
                <c:pt idx="606">
                  <c:v>45366</c:v>
                </c:pt>
                <c:pt idx="607">
                  <c:v>45365</c:v>
                </c:pt>
                <c:pt idx="608">
                  <c:v>45364</c:v>
                </c:pt>
                <c:pt idx="609">
                  <c:v>45363</c:v>
                </c:pt>
                <c:pt idx="610">
                  <c:v>45362</c:v>
                </c:pt>
                <c:pt idx="611">
                  <c:v>45358</c:v>
                </c:pt>
                <c:pt idx="612">
                  <c:v>45357</c:v>
                </c:pt>
                <c:pt idx="613">
                  <c:v>45356</c:v>
                </c:pt>
                <c:pt idx="614">
                  <c:v>45355</c:v>
                </c:pt>
                <c:pt idx="615">
                  <c:v>45353</c:v>
                </c:pt>
                <c:pt idx="616">
                  <c:v>45352</c:v>
                </c:pt>
                <c:pt idx="617">
                  <c:v>45351</c:v>
                </c:pt>
                <c:pt idx="618">
                  <c:v>45350</c:v>
                </c:pt>
                <c:pt idx="619">
                  <c:v>45349</c:v>
                </c:pt>
                <c:pt idx="620">
                  <c:v>45348</c:v>
                </c:pt>
                <c:pt idx="621">
                  <c:v>45345</c:v>
                </c:pt>
                <c:pt idx="622">
                  <c:v>45344</c:v>
                </c:pt>
                <c:pt idx="623">
                  <c:v>45343</c:v>
                </c:pt>
                <c:pt idx="624">
                  <c:v>45342</c:v>
                </c:pt>
                <c:pt idx="625">
                  <c:v>45341</c:v>
                </c:pt>
                <c:pt idx="626">
                  <c:v>45338</c:v>
                </c:pt>
                <c:pt idx="627">
                  <c:v>45337</c:v>
                </c:pt>
                <c:pt idx="628">
                  <c:v>45336</c:v>
                </c:pt>
                <c:pt idx="629">
                  <c:v>45335</c:v>
                </c:pt>
                <c:pt idx="630">
                  <c:v>45334</c:v>
                </c:pt>
                <c:pt idx="631">
                  <c:v>45331</c:v>
                </c:pt>
                <c:pt idx="632">
                  <c:v>45330</c:v>
                </c:pt>
                <c:pt idx="633">
                  <c:v>45329</c:v>
                </c:pt>
                <c:pt idx="634">
                  <c:v>45328</c:v>
                </c:pt>
                <c:pt idx="635">
                  <c:v>45327</c:v>
                </c:pt>
                <c:pt idx="636">
                  <c:v>45324</c:v>
                </c:pt>
                <c:pt idx="637">
                  <c:v>45323</c:v>
                </c:pt>
                <c:pt idx="638">
                  <c:v>45322</c:v>
                </c:pt>
                <c:pt idx="639">
                  <c:v>45321</c:v>
                </c:pt>
                <c:pt idx="640">
                  <c:v>45320</c:v>
                </c:pt>
                <c:pt idx="641">
                  <c:v>45316</c:v>
                </c:pt>
                <c:pt idx="642">
                  <c:v>45315</c:v>
                </c:pt>
                <c:pt idx="643">
                  <c:v>45314</c:v>
                </c:pt>
                <c:pt idx="644">
                  <c:v>45311</c:v>
                </c:pt>
                <c:pt idx="645">
                  <c:v>45310</c:v>
                </c:pt>
                <c:pt idx="646">
                  <c:v>45309</c:v>
                </c:pt>
                <c:pt idx="647">
                  <c:v>45308</c:v>
                </c:pt>
                <c:pt idx="648">
                  <c:v>45307</c:v>
                </c:pt>
                <c:pt idx="649">
                  <c:v>45306</c:v>
                </c:pt>
                <c:pt idx="650">
                  <c:v>45303</c:v>
                </c:pt>
                <c:pt idx="651">
                  <c:v>45302</c:v>
                </c:pt>
                <c:pt idx="652">
                  <c:v>45301</c:v>
                </c:pt>
                <c:pt idx="653">
                  <c:v>45300</c:v>
                </c:pt>
                <c:pt idx="654">
                  <c:v>45299</c:v>
                </c:pt>
                <c:pt idx="655">
                  <c:v>45296</c:v>
                </c:pt>
                <c:pt idx="656">
                  <c:v>45295</c:v>
                </c:pt>
                <c:pt idx="657">
                  <c:v>45294</c:v>
                </c:pt>
                <c:pt idx="658">
                  <c:v>45293</c:v>
                </c:pt>
                <c:pt idx="659">
                  <c:v>45292</c:v>
                </c:pt>
                <c:pt idx="660">
                  <c:v>45289</c:v>
                </c:pt>
                <c:pt idx="661">
                  <c:v>45288</c:v>
                </c:pt>
                <c:pt idx="662">
                  <c:v>45287</c:v>
                </c:pt>
                <c:pt idx="663">
                  <c:v>45286</c:v>
                </c:pt>
                <c:pt idx="664">
                  <c:v>45282</c:v>
                </c:pt>
                <c:pt idx="665">
                  <c:v>45281</c:v>
                </c:pt>
                <c:pt idx="666">
                  <c:v>45280</c:v>
                </c:pt>
                <c:pt idx="667">
                  <c:v>45279</c:v>
                </c:pt>
                <c:pt idx="668">
                  <c:v>45278</c:v>
                </c:pt>
                <c:pt idx="669">
                  <c:v>45275</c:v>
                </c:pt>
                <c:pt idx="670">
                  <c:v>45274</c:v>
                </c:pt>
                <c:pt idx="671">
                  <c:v>45273</c:v>
                </c:pt>
                <c:pt idx="672">
                  <c:v>45272</c:v>
                </c:pt>
                <c:pt idx="673">
                  <c:v>45271</c:v>
                </c:pt>
                <c:pt idx="674">
                  <c:v>45268</c:v>
                </c:pt>
                <c:pt idx="675">
                  <c:v>45267</c:v>
                </c:pt>
                <c:pt idx="676">
                  <c:v>45266</c:v>
                </c:pt>
                <c:pt idx="677">
                  <c:v>45265</c:v>
                </c:pt>
                <c:pt idx="678">
                  <c:v>45264</c:v>
                </c:pt>
                <c:pt idx="679">
                  <c:v>45261</c:v>
                </c:pt>
                <c:pt idx="680">
                  <c:v>45260</c:v>
                </c:pt>
                <c:pt idx="681">
                  <c:v>45259</c:v>
                </c:pt>
                <c:pt idx="682">
                  <c:v>45258</c:v>
                </c:pt>
                <c:pt idx="683">
                  <c:v>45254</c:v>
                </c:pt>
                <c:pt idx="684">
                  <c:v>45253</c:v>
                </c:pt>
                <c:pt idx="685">
                  <c:v>45252</c:v>
                </c:pt>
                <c:pt idx="686">
                  <c:v>45251</c:v>
                </c:pt>
                <c:pt idx="687">
                  <c:v>45250</c:v>
                </c:pt>
                <c:pt idx="688">
                  <c:v>45247</c:v>
                </c:pt>
                <c:pt idx="689">
                  <c:v>45246</c:v>
                </c:pt>
                <c:pt idx="690">
                  <c:v>45245</c:v>
                </c:pt>
                <c:pt idx="691">
                  <c:v>45243</c:v>
                </c:pt>
                <c:pt idx="692">
                  <c:v>45242</c:v>
                </c:pt>
                <c:pt idx="693">
                  <c:v>45240</c:v>
                </c:pt>
                <c:pt idx="694">
                  <c:v>45239</c:v>
                </c:pt>
                <c:pt idx="695">
                  <c:v>45238</c:v>
                </c:pt>
                <c:pt idx="696">
                  <c:v>45237</c:v>
                </c:pt>
                <c:pt idx="697">
                  <c:v>45236</c:v>
                </c:pt>
                <c:pt idx="698">
                  <c:v>45233</c:v>
                </c:pt>
                <c:pt idx="699">
                  <c:v>45232</c:v>
                </c:pt>
                <c:pt idx="700">
                  <c:v>45231</c:v>
                </c:pt>
                <c:pt idx="701">
                  <c:v>45230</c:v>
                </c:pt>
                <c:pt idx="702">
                  <c:v>45229</c:v>
                </c:pt>
                <c:pt idx="703">
                  <c:v>45226</c:v>
                </c:pt>
                <c:pt idx="704">
                  <c:v>45225</c:v>
                </c:pt>
                <c:pt idx="705">
                  <c:v>45224</c:v>
                </c:pt>
                <c:pt idx="706">
                  <c:v>45222</c:v>
                </c:pt>
                <c:pt idx="707">
                  <c:v>45219</c:v>
                </c:pt>
                <c:pt idx="708">
                  <c:v>45218</c:v>
                </c:pt>
                <c:pt idx="709">
                  <c:v>45217</c:v>
                </c:pt>
                <c:pt idx="710">
                  <c:v>45216</c:v>
                </c:pt>
                <c:pt idx="711">
                  <c:v>45215</c:v>
                </c:pt>
                <c:pt idx="712">
                  <c:v>45212</c:v>
                </c:pt>
                <c:pt idx="713">
                  <c:v>45211</c:v>
                </c:pt>
                <c:pt idx="714">
                  <c:v>45210</c:v>
                </c:pt>
                <c:pt idx="715">
                  <c:v>45209</c:v>
                </c:pt>
                <c:pt idx="716">
                  <c:v>45208</c:v>
                </c:pt>
                <c:pt idx="717">
                  <c:v>45205</c:v>
                </c:pt>
                <c:pt idx="718">
                  <c:v>45204</c:v>
                </c:pt>
                <c:pt idx="719">
                  <c:v>45203</c:v>
                </c:pt>
                <c:pt idx="720">
                  <c:v>45202</c:v>
                </c:pt>
                <c:pt idx="721">
                  <c:v>45198</c:v>
                </c:pt>
                <c:pt idx="722">
                  <c:v>45197</c:v>
                </c:pt>
                <c:pt idx="723">
                  <c:v>45196</c:v>
                </c:pt>
                <c:pt idx="724">
                  <c:v>45195</c:v>
                </c:pt>
                <c:pt idx="725">
                  <c:v>45194</c:v>
                </c:pt>
                <c:pt idx="726">
                  <c:v>45191</c:v>
                </c:pt>
                <c:pt idx="727">
                  <c:v>45190</c:v>
                </c:pt>
                <c:pt idx="728">
                  <c:v>45189</c:v>
                </c:pt>
                <c:pt idx="729">
                  <c:v>45187</c:v>
                </c:pt>
                <c:pt idx="730">
                  <c:v>45184</c:v>
                </c:pt>
                <c:pt idx="731">
                  <c:v>45183</c:v>
                </c:pt>
                <c:pt idx="732">
                  <c:v>45182</c:v>
                </c:pt>
                <c:pt idx="733">
                  <c:v>45181</c:v>
                </c:pt>
                <c:pt idx="734">
                  <c:v>45180</c:v>
                </c:pt>
                <c:pt idx="735">
                  <c:v>45177</c:v>
                </c:pt>
                <c:pt idx="736">
                  <c:v>45176</c:v>
                </c:pt>
                <c:pt idx="737">
                  <c:v>45175</c:v>
                </c:pt>
                <c:pt idx="738">
                  <c:v>45174</c:v>
                </c:pt>
                <c:pt idx="739">
                  <c:v>45173</c:v>
                </c:pt>
                <c:pt idx="740">
                  <c:v>45170</c:v>
                </c:pt>
                <c:pt idx="741">
                  <c:v>45169</c:v>
                </c:pt>
                <c:pt idx="742">
                  <c:v>45168</c:v>
                </c:pt>
                <c:pt idx="743">
                  <c:v>45167</c:v>
                </c:pt>
                <c:pt idx="744">
                  <c:v>45166</c:v>
                </c:pt>
                <c:pt idx="745">
                  <c:v>45163</c:v>
                </c:pt>
                <c:pt idx="746">
                  <c:v>45162</c:v>
                </c:pt>
                <c:pt idx="747">
                  <c:v>45161</c:v>
                </c:pt>
                <c:pt idx="748">
                  <c:v>45160</c:v>
                </c:pt>
                <c:pt idx="749">
                  <c:v>45159</c:v>
                </c:pt>
                <c:pt idx="750">
                  <c:v>45156</c:v>
                </c:pt>
                <c:pt idx="751">
                  <c:v>45155</c:v>
                </c:pt>
                <c:pt idx="752">
                  <c:v>45154</c:v>
                </c:pt>
                <c:pt idx="753">
                  <c:v>45152</c:v>
                </c:pt>
                <c:pt idx="754">
                  <c:v>45149</c:v>
                </c:pt>
                <c:pt idx="755">
                  <c:v>45148</c:v>
                </c:pt>
                <c:pt idx="756">
                  <c:v>45147</c:v>
                </c:pt>
                <c:pt idx="757">
                  <c:v>45146</c:v>
                </c:pt>
                <c:pt idx="758">
                  <c:v>45145</c:v>
                </c:pt>
                <c:pt idx="759">
                  <c:v>45142</c:v>
                </c:pt>
                <c:pt idx="760">
                  <c:v>45141</c:v>
                </c:pt>
                <c:pt idx="761">
                  <c:v>45140</c:v>
                </c:pt>
                <c:pt idx="762">
                  <c:v>45139</c:v>
                </c:pt>
                <c:pt idx="763">
                  <c:v>45138</c:v>
                </c:pt>
                <c:pt idx="764">
                  <c:v>45135</c:v>
                </c:pt>
                <c:pt idx="765">
                  <c:v>45134</c:v>
                </c:pt>
                <c:pt idx="766">
                  <c:v>45133</c:v>
                </c:pt>
                <c:pt idx="767">
                  <c:v>45132</c:v>
                </c:pt>
                <c:pt idx="768">
                  <c:v>45131</c:v>
                </c:pt>
                <c:pt idx="769">
                  <c:v>45128</c:v>
                </c:pt>
                <c:pt idx="770">
                  <c:v>45127</c:v>
                </c:pt>
                <c:pt idx="771">
                  <c:v>45126</c:v>
                </c:pt>
                <c:pt idx="772">
                  <c:v>45125</c:v>
                </c:pt>
                <c:pt idx="773">
                  <c:v>45124</c:v>
                </c:pt>
                <c:pt idx="774">
                  <c:v>45121</c:v>
                </c:pt>
                <c:pt idx="775">
                  <c:v>45120</c:v>
                </c:pt>
                <c:pt idx="776">
                  <c:v>45119</c:v>
                </c:pt>
                <c:pt idx="777">
                  <c:v>45118</c:v>
                </c:pt>
                <c:pt idx="778">
                  <c:v>45117</c:v>
                </c:pt>
                <c:pt idx="779">
                  <c:v>45114</c:v>
                </c:pt>
                <c:pt idx="780">
                  <c:v>45113</c:v>
                </c:pt>
                <c:pt idx="781">
                  <c:v>45112</c:v>
                </c:pt>
                <c:pt idx="782">
                  <c:v>45111</c:v>
                </c:pt>
                <c:pt idx="783">
                  <c:v>45110</c:v>
                </c:pt>
                <c:pt idx="784">
                  <c:v>45107</c:v>
                </c:pt>
                <c:pt idx="785">
                  <c:v>45105</c:v>
                </c:pt>
                <c:pt idx="786">
                  <c:v>45104</c:v>
                </c:pt>
                <c:pt idx="787">
                  <c:v>45103</c:v>
                </c:pt>
                <c:pt idx="788">
                  <c:v>45100</c:v>
                </c:pt>
                <c:pt idx="789">
                  <c:v>45099</c:v>
                </c:pt>
                <c:pt idx="790">
                  <c:v>45098</c:v>
                </c:pt>
                <c:pt idx="791">
                  <c:v>45097</c:v>
                </c:pt>
                <c:pt idx="792">
                  <c:v>45096</c:v>
                </c:pt>
                <c:pt idx="793">
                  <c:v>45093</c:v>
                </c:pt>
                <c:pt idx="794">
                  <c:v>45092</c:v>
                </c:pt>
                <c:pt idx="795">
                  <c:v>45091</c:v>
                </c:pt>
                <c:pt idx="796">
                  <c:v>45090</c:v>
                </c:pt>
                <c:pt idx="797">
                  <c:v>45089</c:v>
                </c:pt>
                <c:pt idx="798">
                  <c:v>45086</c:v>
                </c:pt>
                <c:pt idx="799">
                  <c:v>45085</c:v>
                </c:pt>
                <c:pt idx="800">
                  <c:v>45084</c:v>
                </c:pt>
                <c:pt idx="801">
                  <c:v>45083</c:v>
                </c:pt>
                <c:pt idx="802">
                  <c:v>45082</c:v>
                </c:pt>
                <c:pt idx="803">
                  <c:v>45079</c:v>
                </c:pt>
                <c:pt idx="804">
                  <c:v>45078</c:v>
                </c:pt>
                <c:pt idx="805">
                  <c:v>45077</c:v>
                </c:pt>
                <c:pt idx="806">
                  <c:v>45076</c:v>
                </c:pt>
                <c:pt idx="807">
                  <c:v>45075</c:v>
                </c:pt>
                <c:pt idx="808">
                  <c:v>45072</c:v>
                </c:pt>
                <c:pt idx="809">
                  <c:v>45071</c:v>
                </c:pt>
                <c:pt idx="810">
                  <c:v>45070</c:v>
                </c:pt>
                <c:pt idx="811">
                  <c:v>45069</c:v>
                </c:pt>
                <c:pt idx="812">
                  <c:v>45068</c:v>
                </c:pt>
                <c:pt idx="813">
                  <c:v>45065</c:v>
                </c:pt>
                <c:pt idx="814">
                  <c:v>45064</c:v>
                </c:pt>
                <c:pt idx="815">
                  <c:v>45063</c:v>
                </c:pt>
                <c:pt idx="816">
                  <c:v>45062</c:v>
                </c:pt>
                <c:pt idx="817">
                  <c:v>45061</c:v>
                </c:pt>
                <c:pt idx="818">
                  <c:v>45058</c:v>
                </c:pt>
                <c:pt idx="819">
                  <c:v>45057</c:v>
                </c:pt>
                <c:pt idx="820">
                  <c:v>45056</c:v>
                </c:pt>
                <c:pt idx="821">
                  <c:v>45055</c:v>
                </c:pt>
                <c:pt idx="822">
                  <c:v>45054</c:v>
                </c:pt>
                <c:pt idx="823">
                  <c:v>45051</c:v>
                </c:pt>
                <c:pt idx="824">
                  <c:v>45050</c:v>
                </c:pt>
                <c:pt idx="825">
                  <c:v>45049</c:v>
                </c:pt>
                <c:pt idx="826">
                  <c:v>45048</c:v>
                </c:pt>
                <c:pt idx="827">
                  <c:v>45044</c:v>
                </c:pt>
                <c:pt idx="828">
                  <c:v>45043</c:v>
                </c:pt>
                <c:pt idx="829">
                  <c:v>45042</c:v>
                </c:pt>
                <c:pt idx="830">
                  <c:v>45041</c:v>
                </c:pt>
                <c:pt idx="831">
                  <c:v>45040</c:v>
                </c:pt>
                <c:pt idx="832">
                  <c:v>45037</c:v>
                </c:pt>
                <c:pt idx="833">
                  <c:v>45036</c:v>
                </c:pt>
                <c:pt idx="834">
                  <c:v>45035</c:v>
                </c:pt>
                <c:pt idx="835">
                  <c:v>45034</c:v>
                </c:pt>
                <c:pt idx="836">
                  <c:v>45033</c:v>
                </c:pt>
                <c:pt idx="837">
                  <c:v>45029</c:v>
                </c:pt>
                <c:pt idx="838">
                  <c:v>45028</c:v>
                </c:pt>
                <c:pt idx="839">
                  <c:v>45027</c:v>
                </c:pt>
                <c:pt idx="840">
                  <c:v>45026</c:v>
                </c:pt>
                <c:pt idx="841">
                  <c:v>45022</c:v>
                </c:pt>
                <c:pt idx="842">
                  <c:v>45021</c:v>
                </c:pt>
                <c:pt idx="843">
                  <c:v>45019</c:v>
                </c:pt>
                <c:pt idx="844">
                  <c:v>45016</c:v>
                </c:pt>
                <c:pt idx="845">
                  <c:v>45014</c:v>
                </c:pt>
                <c:pt idx="846">
                  <c:v>45013</c:v>
                </c:pt>
                <c:pt idx="847">
                  <c:v>45012</c:v>
                </c:pt>
                <c:pt idx="848">
                  <c:v>45009</c:v>
                </c:pt>
                <c:pt idx="849">
                  <c:v>45008</c:v>
                </c:pt>
                <c:pt idx="850">
                  <c:v>45007</c:v>
                </c:pt>
                <c:pt idx="851">
                  <c:v>45006</c:v>
                </c:pt>
                <c:pt idx="852">
                  <c:v>45005</c:v>
                </c:pt>
                <c:pt idx="853">
                  <c:v>45002</c:v>
                </c:pt>
                <c:pt idx="854">
                  <c:v>45001</c:v>
                </c:pt>
                <c:pt idx="855">
                  <c:v>45000</c:v>
                </c:pt>
                <c:pt idx="856">
                  <c:v>44999</c:v>
                </c:pt>
                <c:pt idx="857">
                  <c:v>44998</c:v>
                </c:pt>
                <c:pt idx="858">
                  <c:v>44995</c:v>
                </c:pt>
                <c:pt idx="859">
                  <c:v>44994</c:v>
                </c:pt>
                <c:pt idx="860">
                  <c:v>44993</c:v>
                </c:pt>
                <c:pt idx="861">
                  <c:v>44991</c:v>
                </c:pt>
                <c:pt idx="862">
                  <c:v>44988</c:v>
                </c:pt>
                <c:pt idx="863">
                  <c:v>44987</c:v>
                </c:pt>
                <c:pt idx="864">
                  <c:v>44986</c:v>
                </c:pt>
                <c:pt idx="865">
                  <c:v>44985</c:v>
                </c:pt>
                <c:pt idx="866">
                  <c:v>44984</c:v>
                </c:pt>
                <c:pt idx="867">
                  <c:v>44981</c:v>
                </c:pt>
                <c:pt idx="868">
                  <c:v>44980</c:v>
                </c:pt>
                <c:pt idx="869">
                  <c:v>44979</c:v>
                </c:pt>
                <c:pt idx="870">
                  <c:v>44978</c:v>
                </c:pt>
                <c:pt idx="871">
                  <c:v>44977</c:v>
                </c:pt>
                <c:pt idx="872">
                  <c:v>44974</c:v>
                </c:pt>
                <c:pt idx="873">
                  <c:v>44973</c:v>
                </c:pt>
                <c:pt idx="874">
                  <c:v>44972</c:v>
                </c:pt>
                <c:pt idx="875">
                  <c:v>44971</c:v>
                </c:pt>
                <c:pt idx="876">
                  <c:v>44970</c:v>
                </c:pt>
                <c:pt idx="877">
                  <c:v>44967</c:v>
                </c:pt>
                <c:pt idx="878">
                  <c:v>44966</c:v>
                </c:pt>
                <c:pt idx="879">
                  <c:v>44965</c:v>
                </c:pt>
                <c:pt idx="880">
                  <c:v>44964</c:v>
                </c:pt>
                <c:pt idx="881">
                  <c:v>44963</c:v>
                </c:pt>
                <c:pt idx="882">
                  <c:v>44960</c:v>
                </c:pt>
                <c:pt idx="883">
                  <c:v>44959</c:v>
                </c:pt>
                <c:pt idx="884">
                  <c:v>44958</c:v>
                </c:pt>
                <c:pt idx="885">
                  <c:v>44957</c:v>
                </c:pt>
                <c:pt idx="886">
                  <c:v>44956</c:v>
                </c:pt>
                <c:pt idx="887">
                  <c:v>44953</c:v>
                </c:pt>
                <c:pt idx="888">
                  <c:v>44951</c:v>
                </c:pt>
                <c:pt idx="889">
                  <c:v>44950</c:v>
                </c:pt>
                <c:pt idx="890">
                  <c:v>44949</c:v>
                </c:pt>
                <c:pt idx="891">
                  <c:v>44946</c:v>
                </c:pt>
                <c:pt idx="892">
                  <c:v>44945</c:v>
                </c:pt>
                <c:pt idx="893">
                  <c:v>44944</c:v>
                </c:pt>
                <c:pt idx="894">
                  <c:v>44943</c:v>
                </c:pt>
                <c:pt idx="895">
                  <c:v>44942</c:v>
                </c:pt>
                <c:pt idx="896">
                  <c:v>44939</c:v>
                </c:pt>
                <c:pt idx="897">
                  <c:v>44938</c:v>
                </c:pt>
                <c:pt idx="898">
                  <c:v>44937</c:v>
                </c:pt>
                <c:pt idx="899">
                  <c:v>44936</c:v>
                </c:pt>
                <c:pt idx="900">
                  <c:v>44935</c:v>
                </c:pt>
                <c:pt idx="901">
                  <c:v>44932</c:v>
                </c:pt>
                <c:pt idx="902">
                  <c:v>44931</c:v>
                </c:pt>
                <c:pt idx="903">
                  <c:v>44930</c:v>
                </c:pt>
                <c:pt idx="904">
                  <c:v>44929</c:v>
                </c:pt>
                <c:pt idx="905">
                  <c:v>44928</c:v>
                </c:pt>
                <c:pt idx="906">
                  <c:v>44925</c:v>
                </c:pt>
                <c:pt idx="907">
                  <c:v>44924</c:v>
                </c:pt>
                <c:pt idx="908">
                  <c:v>44923</c:v>
                </c:pt>
                <c:pt idx="909">
                  <c:v>44922</c:v>
                </c:pt>
                <c:pt idx="910">
                  <c:v>44921</c:v>
                </c:pt>
                <c:pt idx="911">
                  <c:v>44918</c:v>
                </c:pt>
                <c:pt idx="912">
                  <c:v>44917</c:v>
                </c:pt>
                <c:pt idx="913">
                  <c:v>44916</c:v>
                </c:pt>
                <c:pt idx="914">
                  <c:v>44915</c:v>
                </c:pt>
                <c:pt idx="915">
                  <c:v>44914</c:v>
                </c:pt>
                <c:pt idx="916">
                  <c:v>44911</c:v>
                </c:pt>
                <c:pt idx="917">
                  <c:v>44910</c:v>
                </c:pt>
                <c:pt idx="918">
                  <c:v>44909</c:v>
                </c:pt>
                <c:pt idx="919">
                  <c:v>44908</c:v>
                </c:pt>
                <c:pt idx="920">
                  <c:v>44907</c:v>
                </c:pt>
                <c:pt idx="921">
                  <c:v>44904</c:v>
                </c:pt>
                <c:pt idx="922">
                  <c:v>44903</c:v>
                </c:pt>
                <c:pt idx="923">
                  <c:v>44902</c:v>
                </c:pt>
                <c:pt idx="924">
                  <c:v>44901</c:v>
                </c:pt>
                <c:pt idx="925">
                  <c:v>44900</c:v>
                </c:pt>
                <c:pt idx="926">
                  <c:v>44897</c:v>
                </c:pt>
                <c:pt idx="927">
                  <c:v>44896</c:v>
                </c:pt>
                <c:pt idx="928">
                  <c:v>44895</c:v>
                </c:pt>
                <c:pt idx="929">
                  <c:v>44894</c:v>
                </c:pt>
                <c:pt idx="930">
                  <c:v>44893</c:v>
                </c:pt>
                <c:pt idx="931">
                  <c:v>44890</c:v>
                </c:pt>
                <c:pt idx="932">
                  <c:v>44889</c:v>
                </c:pt>
                <c:pt idx="933">
                  <c:v>44888</c:v>
                </c:pt>
                <c:pt idx="934">
                  <c:v>44887</c:v>
                </c:pt>
                <c:pt idx="935">
                  <c:v>44886</c:v>
                </c:pt>
                <c:pt idx="936">
                  <c:v>44883</c:v>
                </c:pt>
                <c:pt idx="937">
                  <c:v>44882</c:v>
                </c:pt>
                <c:pt idx="938">
                  <c:v>44881</c:v>
                </c:pt>
                <c:pt idx="939">
                  <c:v>44880</c:v>
                </c:pt>
                <c:pt idx="940">
                  <c:v>44879</c:v>
                </c:pt>
                <c:pt idx="941">
                  <c:v>44876</c:v>
                </c:pt>
                <c:pt idx="942">
                  <c:v>44875</c:v>
                </c:pt>
                <c:pt idx="943">
                  <c:v>44874</c:v>
                </c:pt>
                <c:pt idx="944">
                  <c:v>44872</c:v>
                </c:pt>
                <c:pt idx="945">
                  <c:v>44869</c:v>
                </c:pt>
                <c:pt idx="946">
                  <c:v>44868</c:v>
                </c:pt>
                <c:pt idx="947">
                  <c:v>44867</c:v>
                </c:pt>
                <c:pt idx="948">
                  <c:v>44866</c:v>
                </c:pt>
                <c:pt idx="949">
                  <c:v>44865</c:v>
                </c:pt>
                <c:pt idx="950">
                  <c:v>44862</c:v>
                </c:pt>
                <c:pt idx="951">
                  <c:v>44861</c:v>
                </c:pt>
                <c:pt idx="952">
                  <c:v>44859</c:v>
                </c:pt>
                <c:pt idx="953">
                  <c:v>44858</c:v>
                </c:pt>
                <c:pt idx="954">
                  <c:v>44855</c:v>
                </c:pt>
                <c:pt idx="955">
                  <c:v>44854</c:v>
                </c:pt>
                <c:pt idx="956">
                  <c:v>44853</c:v>
                </c:pt>
                <c:pt idx="957">
                  <c:v>44852</c:v>
                </c:pt>
                <c:pt idx="958">
                  <c:v>44851</c:v>
                </c:pt>
                <c:pt idx="959">
                  <c:v>44848</c:v>
                </c:pt>
                <c:pt idx="960">
                  <c:v>44847</c:v>
                </c:pt>
                <c:pt idx="961">
                  <c:v>44846</c:v>
                </c:pt>
                <c:pt idx="962">
                  <c:v>44845</c:v>
                </c:pt>
                <c:pt idx="963">
                  <c:v>44844</c:v>
                </c:pt>
                <c:pt idx="964">
                  <c:v>44841</c:v>
                </c:pt>
                <c:pt idx="965">
                  <c:v>44840</c:v>
                </c:pt>
                <c:pt idx="966">
                  <c:v>44838</c:v>
                </c:pt>
                <c:pt idx="967">
                  <c:v>44837</c:v>
                </c:pt>
                <c:pt idx="968">
                  <c:v>44834</c:v>
                </c:pt>
                <c:pt idx="969">
                  <c:v>44833</c:v>
                </c:pt>
                <c:pt idx="970">
                  <c:v>44832</c:v>
                </c:pt>
                <c:pt idx="971">
                  <c:v>44831</c:v>
                </c:pt>
                <c:pt idx="972">
                  <c:v>44830</c:v>
                </c:pt>
                <c:pt idx="973">
                  <c:v>44827</c:v>
                </c:pt>
                <c:pt idx="974">
                  <c:v>44826</c:v>
                </c:pt>
                <c:pt idx="975">
                  <c:v>44825</c:v>
                </c:pt>
                <c:pt idx="976">
                  <c:v>44824</c:v>
                </c:pt>
                <c:pt idx="977">
                  <c:v>44823</c:v>
                </c:pt>
                <c:pt idx="978">
                  <c:v>44820</c:v>
                </c:pt>
                <c:pt idx="979">
                  <c:v>44819</c:v>
                </c:pt>
                <c:pt idx="980">
                  <c:v>44818</c:v>
                </c:pt>
                <c:pt idx="981">
                  <c:v>44817</c:v>
                </c:pt>
                <c:pt idx="982">
                  <c:v>44816</c:v>
                </c:pt>
                <c:pt idx="983">
                  <c:v>44813</c:v>
                </c:pt>
                <c:pt idx="984">
                  <c:v>44812</c:v>
                </c:pt>
                <c:pt idx="985">
                  <c:v>44811</c:v>
                </c:pt>
                <c:pt idx="986">
                  <c:v>44810</c:v>
                </c:pt>
                <c:pt idx="987">
                  <c:v>44809</c:v>
                </c:pt>
                <c:pt idx="988">
                  <c:v>44806</c:v>
                </c:pt>
                <c:pt idx="989">
                  <c:v>44805</c:v>
                </c:pt>
                <c:pt idx="990">
                  <c:v>44803</c:v>
                </c:pt>
                <c:pt idx="991">
                  <c:v>44802</c:v>
                </c:pt>
                <c:pt idx="992">
                  <c:v>44799</c:v>
                </c:pt>
                <c:pt idx="993">
                  <c:v>44798</c:v>
                </c:pt>
                <c:pt idx="994">
                  <c:v>44797</c:v>
                </c:pt>
                <c:pt idx="995">
                  <c:v>44796</c:v>
                </c:pt>
                <c:pt idx="996">
                  <c:v>44795</c:v>
                </c:pt>
                <c:pt idx="997">
                  <c:v>44792</c:v>
                </c:pt>
                <c:pt idx="998">
                  <c:v>44791</c:v>
                </c:pt>
                <c:pt idx="999">
                  <c:v>44790</c:v>
                </c:pt>
                <c:pt idx="1000">
                  <c:v>44789</c:v>
                </c:pt>
                <c:pt idx="1001">
                  <c:v>44785</c:v>
                </c:pt>
                <c:pt idx="1002">
                  <c:v>44784</c:v>
                </c:pt>
                <c:pt idx="1003">
                  <c:v>44783</c:v>
                </c:pt>
                <c:pt idx="1004">
                  <c:v>44781</c:v>
                </c:pt>
                <c:pt idx="1005">
                  <c:v>44778</c:v>
                </c:pt>
                <c:pt idx="1006">
                  <c:v>44777</c:v>
                </c:pt>
                <c:pt idx="1007">
                  <c:v>44776</c:v>
                </c:pt>
                <c:pt idx="1008">
                  <c:v>44775</c:v>
                </c:pt>
                <c:pt idx="1009">
                  <c:v>44774</c:v>
                </c:pt>
                <c:pt idx="1010">
                  <c:v>44771</c:v>
                </c:pt>
                <c:pt idx="1011">
                  <c:v>44770</c:v>
                </c:pt>
                <c:pt idx="1012">
                  <c:v>44769</c:v>
                </c:pt>
                <c:pt idx="1013">
                  <c:v>44768</c:v>
                </c:pt>
                <c:pt idx="1014">
                  <c:v>44767</c:v>
                </c:pt>
                <c:pt idx="1015">
                  <c:v>44764</c:v>
                </c:pt>
                <c:pt idx="1016">
                  <c:v>44763</c:v>
                </c:pt>
                <c:pt idx="1017">
                  <c:v>44762</c:v>
                </c:pt>
                <c:pt idx="1018">
                  <c:v>44761</c:v>
                </c:pt>
                <c:pt idx="1019">
                  <c:v>44760</c:v>
                </c:pt>
                <c:pt idx="1020">
                  <c:v>44757</c:v>
                </c:pt>
                <c:pt idx="1021">
                  <c:v>44756</c:v>
                </c:pt>
                <c:pt idx="1022">
                  <c:v>44755</c:v>
                </c:pt>
                <c:pt idx="1023">
                  <c:v>44754</c:v>
                </c:pt>
                <c:pt idx="1024">
                  <c:v>44753</c:v>
                </c:pt>
                <c:pt idx="1025">
                  <c:v>44750</c:v>
                </c:pt>
                <c:pt idx="1026">
                  <c:v>44749</c:v>
                </c:pt>
                <c:pt idx="1027">
                  <c:v>44748</c:v>
                </c:pt>
                <c:pt idx="1028">
                  <c:v>44747</c:v>
                </c:pt>
                <c:pt idx="1029">
                  <c:v>44746</c:v>
                </c:pt>
                <c:pt idx="1030">
                  <c:v>44743</c:v>
                </c:pt>
                <c:pt idx="1031">
                  <c:v>44742</c:v>
                </c:pt>
                <c:pt idx="1032">
                  <c:v>44741</c:v>
                </c:pt>
                <c:pt idx="1033">
                  <c:v>44740</c:v>
                </c:pt>
                <c:pt idx="1034">
                  <c:v>44739</c:v>
                </c:pt>
                <c:pt idx="1035">
                  <c:v>44736</c:v>
                </c:pt>
                <c:pt idx="1036">
                  <c:v>44735</c:v>
                </c:pt>
                <c:pt idx="1037">
                  <c:v>44734</c:v>
                </c:pt>
                <c:pt idx="1038">
                  <c:v>44733</c:v>
                </c:pt>
                <c:pt idx="1039">
                  <c:v>44732</c:v>
                </c:pt>
                <c:pt idx="1040">
                  <c:v>44729</c:v>
                </c:pt>
                <c:pt idx="1041">
                  <c:v>44728</c:v>
                </c:pt>
                <c:pt idx="1042">
                  <c:v>44727</c:v>
                </c:pt>
                <c:pt idx="1043">
                  <c:v>44726</c:v>
                </c:pt>
                <c:pt idx="1044">
                  <c:v>44725</c:v>
                </c:pt>
                <c:pt idx="1045">
                  <c:v>44722</c:v>
                </c:pt>
                <c:pt idx="1046">
                  <c:v>44721</c:v>
                </c:pt>
                <c:pt idx="1047">
                  <c:v>44720</c:v>
                </c:pt>
                <c:pt idx="1048">
                  <c:v>44719</c:v>
                </c:pt>
                <c:pt idx="1049">
                  <c:v>44718</c:v>
                </c:pt>
                <c:pt idx="1050">
                  <c:v>44715</c:v>
                </c:pt>
                <c:pt idx="1051">
                  <c:v>44714</c:v>
                </c:pt>
                <c:pt idx="1052">
                  <c:v>44713</c:v>
                </c:pt>
                <c:pt idx="1053">
                  <c:v>44712</c:v>
                </c:pt>
                <c:pt idx="1054">
                  <c:v>44711</c:v>
                </c:pt>
                <c:pt idx="1055">
                  <c:v>44708</c:v>
                </c:pt>
                <c:pt idx="1056">
                  <c:v>44707</c:v>
                </c:pt>
                <c:pt idx="1057">
                  <c:v>44706</c:v>
                </c:pt>
                <c:pt idx="1058">
                  <c:v>44705</c:v>
                </c:pt>
                <c:pt idx="1059">
                  <c:v>44704</c:v>
                </c:pt>
                <c:pt idx="1060">
                  <c:v>44701</c:v>
                </c:pt>
                <c:pt idx="1061">
                  <c:v>44700</c:v>
                </c:pt>
                <c:pt idx="1062">
                  <c:v>44699</c:v>
                </c:pt>
                <c:pt idx="1063">
                  <c:v>44698</c:v>
                </c:pt>
                <c:pt idx="1064">
                  <c:v>44697</c:v>
                </c:pt>
                <c:pt idx="1065">
                  <c:v>44694</c:v>
                </c:pt>
                <c:pt idx="1066">
                  <c:v>44693</c:v>
                </c:pt>
                <c:pt idx="1067">
                  <c:v>44692</c:v>
                </c:pt>
                <c:pt idx="1068">
                  <c:v>44691</c:v>
                </c:pt>
                <c:pt idx="1069">
                  <c:v>44690</c:v>
                </c:pt>
                <c:pt idx="1070">
                  <c:v>44687</c:v>
                </c:pt>
                <c:pt idx="1071">
                  <c:v>44686</c:v>
                </c:pt>
                <c:pt idx="1072">
                  <c:v>44685</c:v>
                </c:pt>
                <c:pt idx="1073">
                  <c:v>44683</c:v>
                </c:pt>
                <c:pt idx="1074">
                  <c:v>44680</c:v>
                </c:pt>
                <c:pt idx="1075">
                  <c:v>44679</c:v>
                </c:pt>
                <c:pt idx="1076">
                  <c:v>44678</c:v>
                </c:pt>
                <c:pt idx="1077">
                  <c:v>44677</c:v>
                </c:pt>
                <c:pt idx="1078">
                  <c:v>44676</c:v>
                </c:pt>
                <c:pt idx="1079">
                  <c:v>44673</c:v>
                </c:pt>
                <c:pt idx="1080">
                  <c:v>44672</c:v>
                </c:pt>
                <c:pt idx="1081">
                  <c:v>44671</c:v>
                </c:pt>
                <c:pt idx="1082">
                  <c:v>44670</c:v>
                </c:pt>
                <c:pt idx="1083">
                  <c:v>44669</c:v>
                </c:pt>
                <c:pt idx="1084">
                  <c:v>44664</c:v>
                </c:pt>
                <c:pt idx="1085">
                  <c:v>44663</c:v>
                </c:pt>
                <c:pt idx="1086">
                  <c:v>44662</c:v>
                </c:pt>
                <c:pt idx="1087">
                  <c:v>44659</c:v>
                </c:pt>
                <c:pt idx="1088">
                  <c:v>44658</c:v>
                </c:pt>
                <c:pt idx="1089">
                  <c:v>44657</c:v>
                </c:pt>
                <c:pt idx="1090">
                  <c:v>44656</c:v>
                </c:pt>
                <c:pt idx="1091">
                  <c:v>44655</c:v>
                </c:pt>
                <c:pt idx="1092">
                  <c:v>44652</c:v>
                </c:pt>
                <c:pt idx="1093">
                  <c:v>44651</c:v>
                </c:pt>
                <c:pt idx="1094">
                  <c:v>44650</c:v>
                </c:pt>
                <c:pt idx="1095">
                  <c:v>44649</c:v>
                </c:pt>
                <c:pt idx="1096">
                  <c:v>44648</c:v>
                </c:pt>
                <c:pt idx="1097">
                  <c:v>44645</c:v>
                </c:pt>
                <c:pt idx="1098">
                  <c:v>44644</c:v>
                </c:pt>
                <c:pt idx="1099">
                  <c:v>44643</c:v>
                </c:pt>
                <c:pt idx="1100">
                  <c:v>44642</c:v>
                </c:pt>
                <c:pt idx="1101">
                  <c:v>44641</c:v>
                </c:pt>
                <c:pt idx="1102">
                  <c:v>44637</c:v>
                </c:pt>
                <c:pt idx="1103">
                  <c:v>44636</c:v>
                </c:pt>
                <c:pt idx="1104">
                  <c:v>44635</c:v>
                </c:pt>
                <c:pt idx="1105">
                  <c:v>44634</c:v>
                </c:pt>
                <c:pt idx="1106">
                  <c:v>44631</c:v>
                </c:pt>
                <c:pt idx="1107">
                  <c:v>44630</c:v>
                </c:pt>
                <c:pt idx="1108">
                  <c:v>44629</c:v>
                </c:pt>
                <c:pt idx="1109">
                  <c:v>44628</c:v>
                </c:pt>
                <c:pt idx="1110">
                  <c:v>44627</c:v>
                </c:pt>
                <c:pt idx="1111">
                  <c:v>44624</c:v>
                </c:pt>
                <c:pt idx="1112">
                  <c:v>44623</c:v>
                </c:pt>
                <c:pt idx="1113">
                  <c:v>44622</c:v>
                </c:pt>
                <c:pt idx="1114">
                  <c:v>44620</c:v>
                </c:pt>
                <c:pt idx="1115">
                  <c:v>44617</c:v>
                </c:pt>
                <c:pt idx="1116">
                  <c:v>44616</c:v>
                </c:pt>
                <c:pt idx="1117">
                  <c:v>44615</c:v>
                </c:pt>
                <c:pt idx="1118">
                  <c:v>44614</c:v>
                </c:pt>
                <c:pt idx="1119">
                  <c:v>44613</c:v>
                </c:pt>
                <c:pt idx="1120">
                  <c:v>44610</c:v>
                </c:pt>
                <c:pt idx="1121">
                  <c:v>44609</c:v>
                </c:pt>
                <c:pt idx="1122">
                  <c:v>44608</c:v>
                </c:pt>
                <c:pt idx="1123">
                  <c:v>44607</c:v>
                </c:pt>
                <c:pt idx="1124">
                  <c:v>44606</c:v>
                </c:pt>
                <c:pt idx="1125">
                  <c:v>44603</c:v>
                </c:pt>
                <c:pt idx="1126">
                  <c:v>44602</c:v>
                </c:pt>
                <c:pt idx="1127">
                  <c:v>44601</c:v>
                </c:pt>
                <c:pt idx="1128">
                  <c:v>44600</c:v>
                </c:pt>
                <c:pt idx="1129">
                  <c:v>44599</c:v>
                </c:pt>
                <c:pt idx="1130">
                  <c:v>44596</c:v>
                </c:pt>
                <c:pt idx="1131">
                  <c:v>44595</c:v>
                </c:pt>
                <c:pt idx="1132">
                  <c:v>44594</c:v>
                </c:pt>
                <c:pt idx="1133">
                  <c:v>44593</c:v>
                </c:pt>
                <c:pt idx="1134">
                  <c:v>44592</c:v>
                </c:pt>
                <c:pt idx="1135">
                  <c:v>44589</c:v>
                </c:pt>
                <c:pt idx="1136">
                  <c:v>44588</c:v>
                </c:pt>
                <c:pt idx="1137">
                  <c:v>44586</c:v>
                </c:pt>
                <c:pt idx="1138">
                  <c:v>44585</c:v>
                </c:pt>
                <c:pt idx="1139">
                  <c:v>44582</c:v>
                </c:pt>
                <c:pt idx="1140">
                  <c:v>44581</c:v>
                </c:pt>
                <c:pt idx="1141">
                  <c:v>44580</c:v>
                </c:pt>
                <c:pt idx="1142">
                  <c:v>44579</c:v>
                </c:pt>
                <c:pt idx="1143">
                  <c:v>44578</c:v>
                </c:pt>
                <c:pt idx="1144">
                  <c:v>44575</c:v>
                </c:pt>
                <c:pt idx="1145">
                  <c:v>44574</c:v>
                </c:pt>
                <c:pt idx="1146">
                  <c:v>44573</c:v>
                </c:pt>
                <c:pt idx="1147">
                  <c:v>44572</c:v>
                </c:pt>
                <c:pt idx="1148">
                  <c:v>44571</c:v>
                </c:pt>
                <c:pt idx="1149">
                  <c:v>44568</c:v>
                </c:pt>
                <c:pt idx="1150">
                  <c:v>44567</c:v>
                </c:pt>
                <c:pt idx="1151">
                  <c:v>44566</c:v>
                </c:pt>
                <c:pt idx="1152">
                  <c:v>44565</c:v>
                </c:pt>
                <c:pt idx="1153">
                  <c:v>44564</c:v>
                </c:pt>
                <c:pt idx="1154">
                  <c:v>44561</c:v>
                </c:pt>
                <c:pt idx="1155">
                  <c:v>44560</c:v>
                </c:pt>
                <c:pt idx="1156">
                  <c:v>44559</c:v>
                </c:pt>
                <c:pt idx="1157">
                  <c:v>44558</c:v>
                </c:pt>
                <c:pt idx="1158">
                  <c:v>44557</c:v>
                </c:pt>
                <c:pt idx="1159">
                  <c:v>44554</c:v>
                </c:pt>
                <c:pt idx="1160">
                  <c:v>44553</c:v>
                </c:pt>
                <c:pt idx="1161">
                  <c:v>44552</c:v>
                </c:pt>
                <c:pt idx="1162">
                  <c:v>44551</c:v>
                </c:pt>
                <c:pt idx="1163">
                  <c:v>44550</c:v>
                </c:pt>
                <c:pt idx="1164">
                  <c:v>44547</c:v>
                </c:pt>
                <c:pt idx="1165">
                  <c:v>44546</c:v>
                </c:pt>
                <c:pt idx="1166">
                  <c:v>44545</c:v>
                </c:pt>
                <c:pt idx="1167">
                  <c:v>44544</c:v>
                </c:pt>
                <c:pt idx="1168">
                  <c:v>44543</c:v>
                </c:pt>
                <c:pt idx="1169">
                  <c:v>44540</c:v>
                </c:pt>
                <c:pt idx="1170">
                  <c:v>44539</c:v>
                </c:pt>
                <c:pt idx="1171">
                  <c:v>44538</c:v>
                </c:pt>
                <c:pt idx="1172">
                  <c:v>44537</c:v>
                </c:pt>
                <c:pt idx="1173">
                  <c:v>44536</c:v>
                </c:pt>
                <c:pt idx="1174">
                  <c:v>44533</c:v>
                </c:pt>
                <c:pt idx="1175">
                  <c:v>44532</c:v>
                </c:pt>
                <c:pt idx="1176">
                  <c:v>44531</c:v>
                </c:pt>
                <c:pt idx="1177">
                  <c:v>44530</c:v>
                </c:pt>
                <c:pt idx="1178">
                  <c:v>44529</c:v>
                </c:pt>
                <c:pt idx="1179">
                  <c:v>44526</c:v>
                </c:pt>
                <c:pt idx="1180">
                  <c:v>44525</c:v>
                </c:pt>
                <c:pt idx="1181">
                  <c:v>44524</c:v>
                </c:pt>
                <c:pt idx="1182">
                  <c:v>44523</c:v>
                </c:pt>
                <c:pt idx="1183">
                  <c:v>44522</c:v>
                </c:pt>
                <c:pt idx="1184">
                  <c:v>44518</c:v>
                </c:pt>
                <c:pt idx="1185">
                  <c:v>44517</c:v>
                </c:pt>
                <c:pt idx="1186">
                  <c:v>44516</c:v>
                </c:pt>
                <c:pt idx="1187">
                  <c:v>44515</c:v>
                </c:pt>
                <c:pt idx="1188">
                  <c:v>44512</c:v>
                </c:pt>
                <c:pt idx="1189">
                  <c:v>44511</c:v>
                </c:pt>
                <c:pt idx="1190">
                  <c:v>44510</c:v>
                </c:pt>
                <c:pt idx="1191">
                  <c:v>44509</c:v>
                </c:pt>
                <c:pt idx="1192">
                  <c:v>44508</c:v>
                </c:pt>
                <c:pt idx="1193">
                  <c:v>44504</c:v>
                </c:pt>
                <c:pt idx="1194">
                  <c:v>44503</c:v>
                </c:pt>
                <c:pt idx="1195">
                  <c:v>44502</c:v>
                </c:pt>
                <c:pt idx="1196">
                  <c:v>44501</c:v>
                </c:pt>
                <c:pt idx="1197">
                  <c:v>44498</c:v>
                </c:pt>
                <c:pt idx="1198">
                  <c:v>44497</c:v>
                </c:pt>
                <c:pt idx="1199">
                  <c:v>44496</c:v>
                </c:pt>
                <c:pt idx="1200">
                  <c:v>44495</c:v>
                </c:pt>
                <c:pt idx="1201">
                  <c:v>44494</c:v>
                </c:pt>
                <c:pt idx="1202">
                  <c:v>44491</c:v>
                </c:pt>
                <c:pt idx="1203">
                  <c:v>44490</c:v>
                </c:pt>
                <c:pt idx="1204">
                  <c:v>44489</c:v>
                </c:pt>
                <c:pt idx="1205">
                  <c:v>44488</c:v>
                </c:pt>
                <c:pt idx="1206">
                  <c:v>44487</c:v>
                </c:pt>
                <c:pt idx="1207">
                  <c:v>44483</c:v>
                </c:pt>
                <c:pt idx="1208">
                  <c:v>44482</c:v>
                </c:pt>
                <c:pt idx="1209">
                  <c:v>44481</c:v>
                </c:pt>
                <c:pt idx="1210">
                  <c:v>44480</c:v>
                </c:pt>
                <c:pt idx="1211">
                  <c:v>44477</c:v>
                </c:pt>
                <c:pt idx="1212">
                  <c:v>44476</c:v>
                </c:pt>
                <c:pt idx="1213">
                  <c:v>44475</c:v>
                </c:pt>
                <c:pt idx="1214">
                  <c:v>44474</c:v>
                </c:pt>
                <c:pt idx="1215">
                  <c:v>44473</c:v>
                </c:pt>
                <c:pt idx="1216">
                  <c:v>44470</c:v>
                </c:pt>
                <c:pt idx="1217">
                  <c:v>44469</c:v>
                </c:pt>
                <c:pt idx="1218">
                  <c:v>44468</c:v>
                </c:pt>
                <c:pt idx="1219">
                  <c:v>44467</c:v>
                </c:pt>
                <c:pt idx="1220">
                  <c:v>44466</c:v>
                </c:pt>
                <c:pt idx="1221">
                  <c:v>44463</c:v>
                </c:pt>
                <c:pt idx="1222">
                  <c:v>44462</c:v>
                </c:pt>
                <c:pt idx="1223">
                  <c:v>44461</c:v>
                </c:pt>
                <c:pt idx="1224">
                  <c:v>44460</c:v>
                </c:pt>
                <c:pt idx="1225">
                  <c:v>44459</c:v>
                </c:pt>
                <c:pt idx="1226">
                  <c:v>44456</c:v>
                </c:pt>
                <c:pt idx="1227">
                  <c:v>44455</c:v>
                </c:pt>
                <c:pt idx="1228">
                  <c:v>44454</c:v>
                </c:pt>
                <c:pt idx="1229">
                  <c:v>44453</c:v>
                </c:pt>
                <c:pt idx="1230">
                  <c:v>44452</c:v>
                </c:pt>
                <c:pt idx="1231">
                  <c:v>44448</c:v>
                </c:pt>
                <c:pt idx="1232">
                  <c:v>44447</c:v>
                </c:pt>
                <c:pt idx="1233">
                  <c:v>44446</c:v>
                </c:pt>
                <c:pt idx="1234">
                  <c:v>44445</c:v>
                </c:pt>
                <c:pt idx="1235">
                  <c:v>44442</c:v>
                </c:pt>
                <c:pt idx="1236">
                  <c:v>44441</c:v>
                </c:pt>
                <c:pt idx="1237">
                  <c:v>44440</c:v>
                </c:pt>
                <c:pt idx="1238">
                  <c:v>44439</c:v>
                </c:pt>
                <c:pt idx="1239">
                  <c:v>44438</c:v>
                </c:pt>
                <c:pt idx="1240">
                  <c:v>44435</c:v>
                </c:pt>
              </c:numCache>
            </c:numRef>
          </c:cat>
          <c:val>
            <c:numRef>
              <c:f>'Hist Share Price'!$C$4:$C$1244</c:f>
              <c:numCache>
                <c:formatCode>#,##0.00</c:formatCode>
                <c:ptCount val="1241"/>
                <c:pt idx="0">
                  <c:v>5139.3</c:v>
                </c:pt>
                <c:pt idx="1">
                  <c:v>5100</c:v>
                </c:pt>
                <c:pt idx="2">
                  <c:v>5124.8</c:v>
                </c:pt>
                <c:pt idx="3">
                  <c:v>5079</c:v>
                </c:pt>
                <c:pt idx="4">
                  <c:v>5086.1000000000004</c:v>
                </c:pt>
                <c:pt idx="5">
                  <c:v>5068</c:v>
                </c:pt>
                <c:pt idx="6">
                  <c:v>5068</c:v>
                </c:pt>
                <c:pt idx="7">
                  <c:v>5048.6000000000004</c:v>
                </c:pt>
                <c:pt idx="8">
                  <c:v>5068.5</c:v>
                </c:pt>
                <c:pt idx="9">
                  <c:v>5056.2</c:v>
                </c:pt>
                <c:pt idx="10">
                  <c:v>5063.7</c:v>
                </c:pt>
                <c:pt idx="11">
                  <c:v>5099</c:v>
                </c:pt>
                <c:pt idx="12">
                  <c:v>5128</c:v>
                </c:pt>
                <c:pt idx="13">
                  <c:v>5090</c:v>
                </c:pt>
                <c:pt idx="14">
                  <c:v>4941</c:v>
                </c:pt>
                <c:pt idx="15">
                  <c:v>4998</c:v>
                </c:pt>
                <c:pt idx="16">
                  <c:v>4912.3999999999996</c:v>
                </c:pt>
                <c:pt idx="17">
                  <c:v>4935</c:v>
                </c:pt>
                <c:pt idx="18">
                  <c:v>5000</c:v>
                </c:pt>
                <c:pt idx="19">
                  <c:v>4875.2</c:v>
                </c:pt>
                <c:pt idx="20">
                  <c:v>4850</c:v>
                </c:pt>
                <c:pt idx="21">
                  <c:v>4850.2</c:v>
                </c:pt>
                <c:pt idx="22">
                  <c:v>4849.7</c:v>
                </c:pt>
                <c:pt idx="23">
                  <c:v>4740.1000000000004</c:v>
                </c:pt>
                <c:pt idx="24">
                  <c:v>4677</c:v>
                </c:pt>
                <c:pt idx="25">
                  <c:v>4697.3</c:v>
                </c:pt>
                <c:pt idx="26">
                  <c:v>4711.6000000000004</c:v>
                </c:pt>
                <c:pt idx="27">
                  <c:v>4688.7</c:v>
                </c:pt>
                <c:pt idx="28">
                  <c:v>4643.3999999999996</c:v>
                </c:pt>
                <c:pt idx="29">
                  <c:v>4638.1000000000004</c:v>
                </c:pt>
                <c:pt idx="30">
                  <c:v>4625.8</c:v>
                </c:pt>
                <c:pt idx="31">
                  <c:v>4579.3999999999996</c:v>
                </c:pt>
                <c:pt idx="32">
                  <c:v>4573.7</c:v>
                </c:pt>
                <c:pt idx="33">
                  <c:v>4601.5</c:v>
                </c:pt>
                <c:pt idx="34">
                  <c:v>4584.3999999999996</c:v>
                </c:pt>
                <c:pt idx="35">
                  <c:v>4555.8</c:v>
                </c:pt>
                <c:pt idx="36">
                  <c:v>4586.3999999999996</c:v>
                </c:pt>
                <c:pt idx="37">
                  <c:v>4604.2</c:v>
                </c:pt>
                <c:pt idx="38">
                  <c:v>4484.3999999999996</c:v>
                </c:pt>
                <c:pt idx="39">
                  <c:v>4461.1000000000004</c:v>
                </c:pt>
                <c:pt idx="40">
                  <c:v>4481.1000000000004</c:v>
                </c:pt>
                <c:pt idx="41">
                  <c:v>4398.6000000000004</c:v>
                </c:pt>
                <c:pt idx="42">
                  <c:v>4404</c:v>
                </c:pt>
                <c:pt idx="43">
                  <c:v>4277.2</c:v>
                </c:pt>
                <c:pt idx="44">
                  <c:v>4291.3</c:v>
                </c:pt>
                <c:pt idx="45">
                  <c:v>4323.8</c:v>
                </c:pt>
                <c:pt idx="46">
                  <c:v>4305.3</c:v>
                </c:pt>
                <c:pt idx="47">
                  <c:v>4372.5</c:v>
                </c:pt>
                <c:pt idx="48">
                  <c:v>4419.8999999999996</c:v>
                </c:pt>
                <c:pt idx="49">
                  <c:v>4387.8999999999996</c:v>
                </c:pt>
                <c:pt idx="50">
                  <c:v>4380.5</c:v>
                </c:pt>
                <c:pt idx="51">
                  <c:v>4338</c:v>
                </c:pt>
                <c:pt idx="52">
                  <c:v>4283.5</c:v>
                </c:pt>
                <c:pt idx="53">
                  <c:v>4184</c:v>
                </c:pt>
                <c:pt idx="54">
                  <c:v>4025.2</c:v>
                </c:pt>
                <c:pt idx="55">
                  <c:v>4042.1</c:v>
                </c:pt>
                <c:pt idx="56">
                  <c:v>4104.8999999999996</c:v>
                </c:pt>
                <c:pt idx="57">
                  <c:v>4192.3999999999996</c:v>
                </c:pt>
                <c:pt idx="58">
                  <c:v>4260.2</c:v>
                </c:pt>
                <c:pt idx="59">
                  <c:v>4231</c:v>
                </c:pt>
                <c:pt idx="60">
                  <c:v>4088.8</c:v>
                </c:pt>
                <c:pt idx="61">
                  <c:v>4078.1</c:v>
                </c:pt>
                <c:pt idx="62">
                  <c:v>4024.6</c:v>
                </c:pt>
                <c:pt idx="63">
                  <c:v>4074.9</c:v>
                </c:pt>
                <c:pt idx="64">
                  <c:v>4137.8999999999996</c:v>
                </c:pt>
                <c:pt idx="65">
                  <c:v>4105.8999999999996</c:v>
                </c:pt>
                <c:pt idx="66">
                  <c:v>4159.2</c:v>
                </c:pt>
                <c:pt idx="67">
                  <c:v>4079.8</c:v>
                </c:pt>
                <c:pt idx="68">
                  <c:v>4083.1</c:v>
                </c:pt>
                <c:pt idx="69">
                  <c:v>4106.3999999999996</c:v>
                </c:pt>
                <c:pt idx="70">
                  <c:v>4102</c:v>
                </c:pt>
                <c:pt idx="71">
                  <c:v>4169.7</c:v>
                </c:pt>
                <c:pt idx="72">
                  <c:v>4169.1000000000004</c:v>
                </c:pt>
                <c:pt idx="73">
                  <c:v>4135.2</c:v>
                </c:pt>
                <c:pt idx="74">
                  <c:v>4090.7</c:v>
                </c:pt>
                <c:pt idx="75">
                  <c:v>4055.3</c:v>
                </c:pt>
                <c:pt idx="76">
                  <c:v>4205.6000000000004</c:v>
                </c:pt>
                <c:pt idx="77">
                  <c:v>4509</c:v>
                </c:pt>
                <c:pt idx="78">
                  <c:v>4307.5</c:v>
                </c:pt>
                <c:pt idx="79">
                  <c:v>4359.6000000000004</c:v>
                </c:pt>
                <c:pt idx="80">
                  <c:v>4373.6000000000004</c:v>
                </c:pt>
                <c:pt idx="81">
                  <c:v>4363</c:v>
                </c:pt>
                <c:pt idx="82">
                  <c:v>4385.2</c:v>
                </c:pt>
                <c:pt idx="83">
                  <c:v>4439.8</c:v>
                </c:pt>
                <c:pt idx="84">
                  <c:v>4417</c:v>
                </c:pt>
                <c:pt idx="85">
                  <c:v>4441.8</c:v>
                </c:pt>
                <c:pt idx="86">
                  <c:v>4410</c:v>
                </c:pt>
                <c:pt idx="87">
                  <c:v>4456.5</c:v>
                </c:pt>
                <c:pt idx="88">
                  <c:v>4454.6000000000004</c:v>
                </c:pt>
                <c:pt idx="89">
                  <c:v>4479.7</c:v>
                </c:pt>
                <c:pt idx="90">
                  <c:v>4513</c:v>
                </c:pt>
                <c:pt idx="91">
                  <c:v>4525.8999999999996</c:v>
                </c:pt>
                <c:pt idx="92">
                  <c:v>4461.3999999999996</c:v>
                </c:pt>
                <c:pt idx="93">
                  <c:v>4522.2</c:v>
                </c:pt>
                <c:pt idx="94">
                  <c:v>4439.3</c:v>
                </c:pt>
                <c:pt idx="95">
                  <c:v>4505</c:v>
                </c:pt>
                <c:pt idx="96">
                  <c:v>4439.8</c:v>
                </c:pt>
                <c:pt idx="97">
                  <c:v>4492.5</c:v>
                </c:pt>
                <c:pt idx="98">
                  <c:v>4230.6000000000004</c:v>
                </c:pt>
                <c:pt idx="99">
                  <c:v>4246.1000000000004</c:v>
                </c:pt>
                <c:pt idx="100">
                  <c:v>4097.2</c:v>
                </c:pt>
                <c:pt idx="101">
                  <c:v>4065.5</c:v>
                </c:pt>
                <c:pt idx="102">
                  <c:v>3951.4</c:v>
                </c:pt>
                <c:pt idx="103">
                  <c:v>3981.5</c:v>
                </c:pt>
                <c:pt idx="104">
                  <c:v>4039.3</c:v>
                </c:pt>
                <c:pt idx="105">
                  <c:v>3899.5</c:v>
                </c:pt>
                <c:pt idx="106">
                  <c:v>3853.1</c:v>
                </c:pt>
                <c:pt idx="107">
                  <c:v>4106.6000000000004</c:v>
                </c:pt>
                <c:pt idx="108">
                  <c:v>4037.9</c:v>
                </c:pt>
                <c:pt idx="109">
                  <c:v>4145.5</c:v>
                </c:pt>
                <c:pt idx="110">
                  <c:v>4090.5</c:v>
                </c:pt>
                <c:pt idx="111">
                  <c:v>4090.8</c:v>
                </c:pt>
                <c:pt idx="112">
                  <c:v>4073.2</c:v>
                </c:pt>
                <c:pt idx="113">
                  <c:v>4129.6000000000004</c:v>
                </c:pt>
                <c:pt idx="114">
                  <c:v>4140.3</c:v>
                </c:pt>
                <c:pt idx="115">
                  <c:v>4220.1000000000004</c:v>
                </c:pt>
                <c:pt idx="116">
                  <c:v>4159.2</c:v>
                </c:pt>
                <c:pt idx="117">
                  <c:v>4244.6000000000004</c:v>
                </c:pt>
                <c:pt idx="118">
                  <c:v>4275.2</c:v>
                </c:pt>
                <c:pt idx="119">
                  <c:v>4204.3999999999996</c:v>
                </c:pt>
                <c:pt idx="120">
                  <c:v>4270.3</c:v>
                </c:pt>
                <c:pt idx="121">
                  <c:v>4327.5</c:v>
                </c:pt>
                <c:pt idx="122">
                  <c:v>4342.6000000000004</c:v>
                </c:pt>
                <c:pt idx="123">
                  <c:v>4325</c:v>
                </c:pt>
                <c:pt idx="124">
                  <c:v>4294.5</c:v>
                </c:pt>
                <c:pt idx="125">
                  <c:v>4272.7</c:v>
                </c:pt>
                <c:pt idx="126">
                  <c:v>4236.3999999999996</c:v>
                </c:pt>
                <c:pt idx="127">
                  <c:v>4198.2</c:v>
                </c:pt>
                <c:pt idx="128">
                  <c:v>4248.6000000000004</c:v>
                </c:pt>
                <c:pt idx="129">
                  <c:v>4236.3999999999996</c:v>
                </c:pt>
                <c:pt idx="130">
                  <c:v>4181.1000000000004</c:v>
                </c:pt>
                <c:pt idx="131">
                  <c:v>4179.2</c:v>
                </c:pt>
                <c:pt idx="132">
                  <c:v>4275.8</c:v>
                </c:pt>
                <c:pt idx="133">
                  <c:v>4249.1000000000004</c:v>
                </c:pt>
                <c:pt idx="134">
                  <c:v>4269.1000000000004</c:v>
                </c:pt>
                <c:pt idx="135">
                  <c:v>4257.8</c:v>
                </c:pt>
                <c:pt idx="136">
                  <c:v>4141</c:v>
                </c:pt>
                <c:pt idx="137">
                  <c:v>4097.6000000000004</c:v>
                </c:pt>
                <c:pt idx="138">
                  <c:v>4144</c:v>
                </c:pt>
                <c:pt idx="139">
                  <c:v>4068.6</c:v>
                </c:pt>
                <c:pt idx="140">
                  <c:v>3953.2</c:v>
                </c:pt>
                <c:pt idx="141">
                  <c:v>3985.3</c:v>
                </c:pt>
                <c:pt idx="142">
                  <c:v>3977.4</c:v>
                </c:pt>
                <c:pt idx="143">
                  <c:v>3939.7</c:v>
                </c:pt>
                <c:pt idx="144">
                  <c:v>3975.2</c:v>
                </c:pt>
                <c:pt idx="145">
                  <c:v>3997</c:v>
                </c:pt>
                <c:pt idx="146">
                  <c:v>4021.8</c:v>
                </c:pt>
                <c:pt idx="147">
                  <c:v>4018.6</c:v>
                </c:pt>
                <c:pt idx="148">
                  <c:v>4079.2</c:v>
                </c:pt>
                <c:pt idx="149">
                  <c:v>4075.5</c:v>
                </c:pt>
                <c:pt idx="150">
                  <c:v>4144.1000000000004</c:v>
                </c:pt>
                <c:pt idx="151">
                  <c:v>4196.8999999999996</c:v>
                </c:pt>
                <c:pt idx="152">
                  <c:v>4221.5</c:v>
                </c:pt>
                <c:pt idx="153">
                  <c:v>4239.2</c:v>
                </c:pt>
                <c:pt idx="154">
                  <c:v>4231.6000000000004</c:v>
                </c:pt>
                <c:pt idx="155">
                  <c:v>4201.8</c:v>
                </c:pt>
                <c:pt idx="156">
                  <c:v>4249</c:v>
                </c:pt>
                <c:pt idx="157">
                  <c:v>4273.2</c:v>
                </c:pt>
                <c:pt idx="158">
                  <c:v>4111.8</c:v>
                </c:pt>
                <c:pt idx="159">
                  <c:v>4079.7</c:v>
                </c:pt>
                <c:pt idx="160">
                  <c:v>4051.7</c:v>
                </c:pt>
                <c:pt idx="161">
                  <c:v>4049.3</c:v>
                </c:pt>
                <c:pt idx="162">
                  <c:v>4051.5</c:v>
                </c:pt>
                <c:pt idx="163">
                  <c:v>3974.1</c:v>
                </c:pt>
                <c:pt idx="164">
                  <c:v>3983.7</c:v>
                </c:pt>
                <c:pt idx="165">
                  <c:v>3992</c:v>
                </c:pt>
                <c:pt idx="166">
                  <c:v>3909.3</c:v>
                </c:pt>
                <c:pt idx="167">
                  <c:v>3925.8</c:v>
                </c:pt>
                <c:pt idx="168">
                  <c:v>3933.8</c:v>
                </c:pt>
                <c:pt idx="169">
                  <c:v>3930.1</c:v>
                </c:pt>
                <c:pt idx="170">
                  <c:v>3919.3</c:v>
                </c:pt>
                <c:pt idx="171">
                  <c:v>3907.9</c:v>
                </c:pt>
                <c:pt idx="172">
                  <c:v>3929.5</c:v>
                </c:pt>
                <c:pt idx="173">
                  <c:v>3866.2</c:v>
                </c:pt>
                <c:pt idx="174">
                  <c:v>3880.2</c:v>
                </c:pt>
                <c:pt idx="175">
                  <c:v>3844.8</c:v>
                </c:pt>
                <c:pt idx="176">
                  <c:v>3845.7</c:v>
                </c:pt>
                <c:pt idx="177">
                  <c:v>3849</c:v>
                </c:pt>
                <c:pt idx="178">
                  <c:v>3767</c:v>
                </c:pt>
                <c:pt idx="179">
                  <c:v>3813.3</c:v>
                </c:pt>
                <c:pt idx="180">
                  <c:v>3800.4</c:v>
                </c:pt>
                <c:pt idx="181">
                  <c:v>3817.8</c:v>
                </c:pt>
                <c:pt idx="182">
                  <c:v>3885.8</c:v>
                </c:pt>
                <c:pt idx="183">
                  <c:v>3894.9</c:v>
                </c:pt>
                <c:pt idx="184">
                  <c:v>3907.7</c:v>
                </c:pt>
                <c:pt idx="185">
                  <c:v>3903.3</c:v>
                </c:pt>
                <c:pt idx="186">
                  <c:v>3897.7</c:v>
                </c:pt>
                <c:pt idx="187">
                  <c:v>3855.1</c:v>
                </c:pt>
                <c:pt idx="188">
                  <c:v>3874.3</c:v>
                </c:pt>
                <c:pt idx="189">
                  <c:v>3904.2</c:v>
                </c:pt>
                <c:pt idx="190">
                  <c:v>3902.4</c:v>
                </c:pt>
                <c:pt idx="191">
                  <c:v>3933.1</c:v>
                </c:pt>
                <c:pt idx="192">
                  <c:v>3879.2</c:v>
                </c:pt>
                <c:pt idx="193">
                  <c:v>3868.6</c:v>
                </c:pt>
                <c:pt idx="194">
                  <c:v>3829.2</c:v>
                </c:pt>
                <c:pt idx="195">
                  <c:v>3839.2</c:v>
                </c:pt>
                <c:pt idx="196">
                  <c:v>3851.1</c:v>
                </c:pt>
                <c:pt idx="197">
                  <c:v>3812.4</c:v>
                </c:pt>
                <c:pt idx="198">
                  <c:v>3803</c:v>
                </c:pt>
                <c:pt idx="199">
                  <c:v>3769.3</c:v>
                </c:pt>
                <c:pt idx="200">
                  <c:v>3774.4</c:v>
                </c:pt>
                <c:pt idx="201">
                  <c:v>3813.5</c:v>
                </c:pt>
                <c:pt idx="202">
                  <c:v>3724.5</c:v>
                </c:pt>
                <c:pt idx="203">
                  <c:v>3746.7</c:v>
                </c:pt>
                <c:pt idx="204">
                  <c:v>3750.7</c:v>
                </c:pt>
                <c:pt idx="205">
                  <c:v>3748.3</c:v>
                </c:pt>
                <c:pt idx="206">
                  <c:v>3717</c:v>
                </c:pt>
                <c:pt idx="207">
                  <c:v>3739.8</c:v>
                </c:pt>
                <c:pt idx="208">
                  <c:v>3714.9</c:v>
                </c:pt>
                <c:pt idx="209">
                  <c:v>3772.3</c:v>
                </c:pt>
                <c:pt idx="210">
                  <c:v>3729</c:v>
                </c:pt>
                <c:pt idx="211">
                  <c:v>3737.2</c:v>
                </c:pt>
                <c:pt idx="212">
                  <c:v>3674.8</c:v>
                </c:pt>
                <c:pt idx="213">
                  <c:v>3640.3</c:v>
                </c:pt>
                <c:pt idx="214">
                  <c:v>3549</c:v>
                </c:pt>
                <c:pt idx="215">
                  <c:v>3537.4</c:v>
                </c:pt>
                <c:pt idx="216">
                  <c:v>3533.6</c:v>
                </c:pt>
                <c:pt idx="217">
                  <c:v>3531.9</c:v>
                </c:pt>
                <c:pt idx="218">
                  <c:v>3550.6</c:v>
                </c:pt>
                <c:pt idx="219">
                  <c:v>3565.6</c:v>
                </c:pt>
                <c:pt idx="220">
                  <c:v>3418.2</c:v>
                </c:pt>
                <c:pt idx="221">
                  <c:v>3425.4</c:v>
                </c:pt>
                <c:pt idx="222">
                  <c:v>3453.3</c:v>
                </c:pt>
                <c:pt idx="223">
                  <c:v>3408.3</c:v>
                </c:pt>
                <c:pt idx="224">
                  <c:v>3367</c:v>
                </c:pt>
                <c:pt idx="225">
                  <c:v>3401.2</c:v>
                </c:pt>
                <c:pt idx="226">
                  <c:v>3327.3</c:v>
                </c:pt>
                <c:pt idx="227">
                  <c:v>3378.5</c:v>
                </c:pt>
                <c:pt idx="228">
                  <c:v>3418.3</c:v>
                </c:pt>
                <c:pt idx="229">
                  <c:v>3439.2</c:v>
                </c:pt>
                <c:pt idx="230">
                  <c:v>3457.5</c:v>
                </c:pt>
                <c:pt idx="231">
                  <c:v>3467.2</c:v>
                </c:pt>
                <c:pt idx="232">
                  <c:v>3511.3</c:v>
                </c:pt>
                <c:pt idx="233">
                  <c:v>3523</c:v>
                </c:pt>
                <c:pt idx="234">
                  <c:v>3556.8</c:v>
                </c:pt>
                <c:pt idx="235">
                  <c:v>3534.1</c:v>
                </c:pt>
                <c:pt idx="236">
                  <c:v>3571.9</c:v>
                </c:pt>
                <c:pt idx="237">
                  <c:v>3584.2</c:v>
                </c:pt>
                <c:pt idx="238">
                  <c:v>3620.6</c:v>
                </c:pt>
                <c:pt idx="239">
                  <c:v>3630.1</c:v>
                </c:pt>
                <c:pt idx="240">
                  <c:v>3658</c:v>
                </c:pt>
                <c:pt idx="241">
                  <c:v>3665.3</c:v>
                </c:pt>
                <c:pt idx="242">
                  <c:v>3691.1</c:v>
                </c:pt>
                <c:pt idx="243">
                  <c:v>3690.6</c:v>
                </c:pt>
                <c:pt idx="244">
                  <c:v>3620.6</c:v>
                </c:pt>
                <c:pt idx="245">
                  <c:v>3618.6</c:v>
                </c:pt>
                <c:pt idx="246">
                  <c:v>3628.8</c:v>
                </c:pt>
                <c:pt idx="247">
                  <c:v>3637.7</c:v>
                </c:pt>
                <c:pt idx="248">
                  <c:v>3594</c:v>
                </c:pt>
                <c:pt idx="249">
                  <c:v>3651.4</c:v>
                </c:pt>
                <c:pt idx="250">
                  <c:v>3621</c:v>
                </c:pt>
                <c:pt idx="251">
                  <c:v>3616.3</c:v>
                </c:pt>
                <c:pt idx="252">
                  <c:v>3595</c:v>
                </c:pt>
                <c:pt idx="253">
                  <c:v>3568.1</c:v>
                </c:pt>
                <c:pt idx="254">
                  <c:v>3554.8</c:v>
                </c:pt>
                <c:pt idx="255">
                  <c:v>3489.4</c:v>
                </c:pt>
                <c:pt idx="256">
                  <c:v>3466.8</c:v>
                </c:pt>
                <c:pt idx="257">
                  <c:v>3486.8</c:v>
                </c:pt>
                <c:pt idx="258">
                  <c:v>3467.9</c:v>
                </c:pt>
                <c:pt idx="259">
                  <c:v>3460.2</c:v>
                </c:pt>
                <c:pt idx="260">
                  <c:v>3415.7</c:v>
                </c:pt>
                <c:pt idx="261">
                  <c:v>3417.7</c:v>
                </c:pt>
                <c:pt idx="262">
                  <c:v>3418.2</c:v>
                </c:pt>
                <c:pt idx="263">
                  <c:v>3356.3</c:v>
                </c:pt>
                <c:pt idx="264">
                  <c:v>3316</c:v>
                </c:pt>
                <c:pt idx="265">
                  <c:v>3347.3</c:v>
                </c:pt>
                <c:pt idx="266">
                  <c:v>3376.5</c:v>
                </c:pt>
                <c:pt idx="267">
                  <c:v>3379.2</c:v>
                </c:pt>
                <c:pt idx="268">
                  <c:v>3393</c:v>
                </c:pt>
                <c:pt idx="269">
                  <c:v>3462.8</c:v>
                </c:pt>
                <c:pt idx="270">
                  <c:v>3484.4</c:v>
                </c:pt>
                <c:pt idx="271">
                  <c:v>3471.4</c:v>
                </c:pt>
                <c:pt idx="272">
                  <c:v>3472.4</c:v>
                </c:pt>
                <c:pt idx="273">
                  <c:v>3433</c:v>
                </c:pt>
                <c:pt idx="274">
                  <c:v>3402.9</c:v>
                </c:pt>
                <c:pt idx="275">
                  <c:v>3433.3</c:v>
                </c:pt>
                <c:pt idx="276">
                  <c:v>3417.3</c:v>
                </c:pt>
                <c:pt idx="277">
                  <c:v>3415</c:v>
                </c:pt>
                <c:pt idx="278">
                  <c:v>3404.7</c:v>
                </c:pt>
                <c:pt idx="279">
                  <c:v>3361.6</c:v>
                </c:pt>
                <c:pt idx="280">
                  <c:v>3419.8</c:v>
                </c:pt>
                <c:pt idx="281">
                  <c:v>3432.1</c:v>
                </c:pt>
                <c:pt idx="282">
                  <c:v>3441.3</c:v>
                </c:pt>
                <c:pt idx="283">
                  <c:v>3666.1</c:v>
                </c:pt>
                <c:pt idx="284">
                  <c:v>3686.9</c:v>
                </c:pt>
                <c:pt idx="285">
                  <c:v>3678.7</c:v>
                </c:pt>
                <c:pt idx="286">
                  <c:v>3708</c:v>
                </c:pt>
                <c:pt idx="287">
                  <c:v>3700.5</c:v>
                </c:pt>
                <c:pt idx="288">
                  <c:v>3690.2</c:v>
                </c:pt>
                <c:pt idx="289">
                  <c:v>3666.2</c:v>
                </c:pt>
                <c:pt idx="290">
                  <c:v>3694.7</c:v>
                </c:pt>
                <c:pt idx="291">
                  <c:v>3652.2</c:v>
                </c:pt>
                <c:pt idx="292">
                  <c:v>3526</c:v>
                </c:pt>
                <c:pt idx="293">
                  <c:v>3505.7</c:v>
                </c:pt>
                <c:pt idx="294">
                  <c:v>3519</c:v>
                </c:pt>
                <c:pt idx="295">
                  <c:v>3505.4</c:v>
                </c:pt>
                <c:pt idx="296">
                  <c:v>3467.8</c:v>
                </c:pt>
                <c:pt idx="297">
                  <c:v>3405.7</c:v>
                </c:pt>
                <c:pt idx="298">
                  <c:v>3438.1</c:v>
                </c:pt>
                <c:pt idx="299">
                  <c:v>3421.9</c:v>
                </c:pt>
                <c:pt idx="300">
                  <c:v>3452.7</c:v>
                </c:pt>
                <c:pt idx="301">
                  <c:v>3541.6</c:v>
                </c:pt>
                <c:pt idx="302">
                  <c:v>3524.2</c:v>
                </c:pt>
                <c:pt idx="303">
                  <c:v>3533.9</c:v>
                </c:pt>
                <c:pt idx="304">
                  <c:v>3559.9</c:v>
                </c:pt>
                <c:pt idx="305">
                  <c:v>3504</c:v>
                </c:pt>
                <c:pt idx="306">
                  <c:v>3499.8</c:v>
                </c:pt>
                <c:pt idx="307">
                  <c:v>3519.8</c:v>
                </c:pt>
                <c:pt idx="308">
                  <c:v>3525.5</c:v>
                </c:pt>
                <c:pt idx="309">
                  <c:v>3555</c:v>
                </c:pt>
                <c:pt idx="310">
                  <c:v>3588.3</c:v>
                </c:pt>
                <c:pt idx="311">
                  <c:v>3574.7</c:v>
                </c:pt>
                <c:pt idx="312">
                  <c:v>3589.4</c:v>
                </c:pt>
                <c:pt idx="313">
                  <c:v>3610.3</c:v>
                </c:pt>
                <c:pt idx="314">
                  <c:v>3579.7</c:v>
                </c:pt>
                <c:pt idx="315">
                  <c:v>3541</c:v>
                </c:pt>
                <c:pt idx="316">
                  <c:v>3580.5</c:v>
                </c:pt>
                <c:pt idx="317">
                  <c:v>3580.6</c:v>
                </c:pt>
                <c:pt idx="318">
                  <c:v>3617.7</c:v>
                </c:pt>
                <c:pt idx="319">
                  <c:v>3633.7</c:v>
                </c:pt>
                <c:pt idx="320">
                  <c:v>3636.8</c:v>
                </c:pt>
                <c:pt idx="321">
                  <c:v>3587.6</c:v>
                </c:pt>
                <c:pt idx="322">
                  <c:v>3563.2</c:v>
                </c:pt>
                <c:pt idx="323">
                  <c:v>3562.9</c:v>
                </c:pt>
                <c:pt idx="324">
                  <c:v>3510.3</c:v>
                </c:pt>
                <c:pt idx="325">
                  <c:v>3369.3</c:v>
                </c:pt>
                <c:pt idx="326">
                  <c:v>3338.9</c:v>
                </c:pt>
                <c:pt idx="327">
                  <c:v>3299.3</c:v>
                </c:pt>
                <c:pt idx="328">
                  <c:v>3321.8</c:v>
                </c:pt>
                <c:pt idx="329">
                  <c:v>3341</c:v>
                </c:pt>
                <c:pt idx="330">
                  <c:v>3379.7</c:v>
                </c:pt>
                <c:pt idx="331">
                  <c:v>3378.6</c:v>
                </c:pt>
                <c:pt idx="332">
                  <c:v>3369.1</c:v>
                </c:pt>
                <c:pt idx="333">
                  <c:v>3365.2</c:v>
                </c:pt>
                <c:pt idx="334">
                  <c:v>3382.6</c:v>
                </c:pt>
                <c:pt idx="335">
                  <c:v>3357.3</c:v>
                </c:pt>
                <c:pt idx="336">
                  <c:v>3337.4</c:v>
                </c:pt>
                <c:pt idx="337">
                  <c:v>3336.1</c:v>
                </c:pt>
                <c:pt idx="338">
                  <c:v>3327.5</c:v>
                </c:pt>
                <c:pt idx="339">
                  <c:v>3272.1</c:v>
                </c:pt>
                <c:pt idx="340">
                  <c:v>3273.4</c:v>
                </c:pt>
                <c:pt idx="341">
                  <c:v>3234.9</c:v>
                </c:pt>
                <c:pt idx="342">
                  <c:v>3174.15</c:v>
                </c:pt>
                <c:pt idx="343">
                  <c:v>3122.3</c:v>
                </c:pt>
                <c:pt idx="344">
                  <c:v>3022.2</c:v>
                </c:pt>
                <c:pt idx="345">
                  <c:v>3076.2</c:v>
                </c:pt>
                <c:pt idx="346">
                  <c:v>3127.55</c:v>
                </c:pt>
                <c:pt idx="347">
                  <c:v>3098.45</c:v>
                </c:pt>
                <c:pt idx="348">
                  <c:v>2986.95</c:v>
                </c:pt>
                <c:pt idx="349">
                  <c:v>3063.35</c:v>
                </c:pt>
                <c:pt idx="350">
                  <c:v>3087.65</c:v>
                </c:pt>
                <c:pt idx="351">
                  <c:v>3057.5</c:v>
                </c:pt>
                <c:pt idx="352">
                  <c:v>3053.7</c:v>
                </c:pt>
                <c:pt idx="353">
                  <c:v>3079.1</c:v>
                </c:pt>
                <c:pt idx="354">
                  <c:v>3162.7</c:v>
                </c:pt>
                <c:pt idx="355">
                  <c:v>3193.1</c:v>
                </c:pt>
                <c:pt idx="356">
                  <c:v>3076.3</c:v>
                </c:pt>
                <c:pt idx="357">
                  <c:v>3081.7</c:v>
                </c:pt>
                <c:pt idx="358">
                  <c:v>3017.35</c:v>
                </c:pt>
                <c:pt idx="359">
                  <c:v>3010.15</c:v>
                </c:pt>
                <c:pt idx="360">
                  <c:v>3018.95</c:v>
                </c:pt>
                <c:pt idx="361">
                  <c:v>3046.4</c:v>
                </c:pt>
                <c:pt idx="362">
                  <c:v>3026.8</c:v>
                </c:pt>
                <c:pt idx="363">
                  <c:v>3079.35</c:v>
                </c:pt>
                <c:pt idx="364">
                  <c:v>3121.1</c:v>
                </c:pt>
                <c:pt idx="365">
                  <c:v>3086.55</c:v>
                </c:pt>
                <c:pt idx="366">
                  <c:v>3048.5</c:v>
                </c:pt>
                <c:pt idx="367">
                  <c:v>3082</c:v>
                </c:pt>
                <c:pt idx="368">
                  <c:v>3077.25</c:v>
                </c:pt>
                <c:pt idx="369">
                  <c:v>3223.1</c:v>
                </c:pt>
                <c:pt idx="370">
                  <c:v>3198.8</c:v>
                </c:pt>
                <c:pt idx="371">
                  <c:v>3173</c:v>
                </c:pt>
                <c:pt idx="372">
                  <c:v>3179.9</c:v>
                </c:pt>
                <c:pt idx="373">
                  <c:v>3191.45</c:v>
                </c:pt>
                <c:pt idx="374">
                  <c:v>3210.3</c:v>
                </c:pt>
                <c:pt idx="375">
                  <c:v>3221.85</c:v>
                </c:pt>
                <c:pt idx="376">
                  <c:v>3233.2</c:v>
                </c:pt>
                <c:pt idx="377">
                  <c:v>3213.25</c:v>
                </c:pt>
                <c:pt idx="378">
                  <c:v>3231.5</c:v>
                </c:pt>
                <c:pt idx="379">
                  <c:v>3255.45</c:v>
                </c:pt>
                <c:pt idx="380">
                  <c:v>3281.8</c:v>
                </c:pt>
                <c:pt idx="381">
                  <c:v>3327.45</c:v>
                </c:pt>
                <c:pt idx="382">
                  <c:v>3424.8</c:v>
                </c:pt>
                <c:pt idx="383">
                  <c:v>3410.75</c:v>
                </c:pt>
                <c:pt idx="384">
                  <c:v>3490.9</c:v>
                </c:pt>
                <c:pt idx="385">
                  <c:v>3597.7</c:v>
                </c:pt>
                <c:pt idx="386">
                  <c:v>3580.3</c:v>
                </c:pt>
                <c:pt idx="387">
                  <c:v>3552</c:v>
                </c:pt>
                <c:pt idx="388">
                  <c:v>3490.25</c:v>
                </c:pt>
                <c:pt idx="389">
                  <c:v>3368.4</c:v>
                </c:pt>
                <c:pt idx="390">
                  <c:v>3370.75</c:v>
                </c:pt>
                <c:pt idx="391">
                  <c:v>3325.9</c:v>
                </c:pt>
                <c:pt idx="392">
                  <c:v>3319.35</c:v>
                </c:pt>
                <c:pt idx="393">
                  <c:v>3402.15</c:v>
                </c:pt>
                <c:pt idx="394">
                  <c:v>3398.55</c:v>
                </c:pt>
                <c:pt idx="395">
                  <c:v>3356.45</c:v>
                </c:pt>
                <c:pt idx="396">
                  <c:v>3353.35</c:v>
                </c:pt>
                <c:pt idx="397">
                  <c:v>3382.25</c:v>
                </c:pt>
                <c:pt idx="398">
                  <c:v>3357.4</c:v>
                </c:pt>
                <c:pt idx="399">
                  <c:v>3316.9</c:v>
                </c:pt>
                <c:pt idx="400">
                  <c:v>3323.5</c:v>
                </c:pt>
                <c:pt idx="401">
                  <c:v>3322.5</c:v>
                </c:pt>
                <c:pt idx="402">
                  <c:v>3382.75</c:v>
                </c:pt>
                <c:pt idx="403">
                  <c:v>3440.25</c:v>
                </c:pt>
                <c:pt idx="404">
                  <c:v>3487.05</c:v>
                </c:pt>
                <c:pt idx="405">
                  <c:v>3484.05</c:v>
                </c:pt>
                <c:pt idx="406">
                  <c:v>3505.1</c:v>
                </c:pt>
                <c:pt idx="407">
                  <c:v>3470.4</c:v>
                </c:pt>
                <c:pt idx="408">
                  <c:v>3451.65</c:v>
                </c:pt>
                <c:pt idx="409">
                  <c:v>3388.95</c:v>
                </c:pt>
                <c:pt idx="410">
                  <c:v>3253.85</c:v>
                </c:pt>
                <c:pt idx="411">
                  <c:v>3253.15</c:v>
                </c:pt>
                <c:pt idx="412">
                  <c:v>3257.35</c:v>
                </c:pt>
                <c:pt idx="413">
                  <c:v>3309.2</c:v>
                </c:pt>
                <c:pt idx="414">
                  <c:v>3323.05</c:v>
                </c:pt>
                <c:pt idx="415">
                  <c:v>3353.4</c:v>
                </c:pt>
                <c:pt idx="416">
                  <c:v>3396.95</c:v>
                </c:pt>
                <c:pt idx="417">
                  <c:v>3356.25</c:v>
                </c:pt>
                <c:pt idx="418">
                  <c:v>3356.85</c:v>
                </c:pt>
                <c:pt idx="419">
                  <c:v>3401.9</c:v>
                </c:pt>
                <c:pt idx="420">
                  <c:v>3406.1</c:v>
                </c:pt>
                <c:pt idx="421">
                  <c:v>3438.2</c:v>
                </c:pt>
                <c:pt idx="422">
                  <c:v>3508.85</c:v>
                </c:pt>
                <c:pt idx="423">
                  <c:v>3445.75</c:v>
                </c:pt>
                <c:pt idx="424">
                  <c:v>3473.1</c:v>
                </c:pt>
                <c:pt idx="425">
                  <c:v>3475.75</c:v>
                </c:pt>
                <c:pt idx="426">
                  <c:v>3468.2</c:v>
                </c:pt>
                <c:pt idx="427">
                  <c:v>3470.1</c:v>
                </c:pt>
                <c:pt idx="428">
                  <c:v>3441.05</c:v>
                </c:pt>
                <c:pt idx="429">
                  <c:v>3364.45</c:v>
                </c:pt>
                <c:pt idx="430">
                  <c:v>3332.75</c:v>
                </c:pt>
                <c:pt idx="431">
                  <c:v>3306.85</c:v>
                </c:pt>
                <c:pt idx="432">
                  <c:v>3249</c:v>
                </c:pt>
                <c:pt idx="433">
                  <c:v>3212.35</c:v>
                </c:pt>
                <c:pt idx="434">
                  <c:v>3291.65</c:v>
                </c:pt>
                <c:pt idx="435">
                  <c:v>3327.5</c:v>
                </c:pt>
                <c:pt idx="436">
                  <c:v>3309.1</c:v>
                </c:pt>
                <c:pt idx="437">
                  <c:v>3308.7</c:v>
                </c:pt>
                <c:pt idx="438">
                  <c:v>3178.45</c:v>
                </c:pt>
                <c:pt idx="439">
                  <c:v>3224.7</c:v>
                </c:pt>
                <c:pt idx="440">
                  <c:v>3172.3</c:v>
                </c:pt>
                <c:pt idx="441">
                  <c:v>3183.7</c:v>
                </c:pt>
                <c:pt idx="442">
                  <c:v>3187.85</c:v>
                </c:pt>
                <c:pt idx="443">
                  <c:v>3198.45</c:v>
                </c:pt>
                <c:pt idx="444">
                  <c:v>3206.6</c:v>
                </c:pt>
                <c:pt idx="445">
                  <c:v>3186.25</c:v>
                </c:pt>
                <c:pt idx="446">
                  <c:v>3120.85</c:v>
                </c:pt>
                <c:pt idx="447">
                  <c:v>3177.05</c:v>
                </c:pt>
                <c:pt idx="448">
                  <c:v>3230.25</c:v>
                </c:pt>
                <c:pt idx="449">
                  <c:v>3222</c:v>
                </c:pt>
                <c:pt idx="450">
                  <c:v>3293.7</c:v>
                </c:pt>
                <c:pt idx="451">
                  <c:v>3267.05</c:v>
                </c:pt>
                <c:pt idx="452">
                  <c:v>3308.45</c:v>
                </c:pt>
                <c:pt idx="453">
                  <c:v>3283.4</c:v>
                </c:pt>
                <c:pt idx="454">
                  <c:v>3283.05</c:v>
                </c:pt>
                <c:pt idx="455">
                  <c:v>3266.55</c:v>
                </c:pt>
                <c:pt idx="456">
                  <c:v>3330.9</c:v>
                </c:pt>
                <c:pt idx="457">
                  <c:v>3288.6</c:v>
                </c:pt>
                <c:pt idx="458">
                  <c:v>3329.8</c:v>
                </c:pt>
                <c:pt idx="459">
                  <c:v>3363.25</c:v>
                </c:pt>
                <c:pt idx="460">
                  <c:v>3381.45</c:v>
                </c:pt>
                <c:pt idx="461">
                  <c:v>3403.35</c:v>
                </c:pt>
                <c:pt idx="462">
                  <c:v>3471</c:v>
                </c:pt>
                <c:pt idx="463">
                  <c:v>3508.5</c:v>
                </c:pt>
                <c:pt idx="464">
                  <c:v>3497.8</c:v>
                </c:pt>
                <c:pt idx="465">
                  <c:v>3474.4</c:v>
                </c:pt>
                <c:pt idx="466">
                  <c:v>3447.25</c:v>
                </c:pt>
                <c:pt idx="467">
                  <c:v>3493.45</c:v>
                </c:pt>
                <c:pt idx="468">
                  <c:v>3493.35</c:v>
                </c:pt>
                <c:pt idx="469">
                  <c:v>3589.25</c:v>
                </c:pt>
                <c:pt idx="470">
                  <c:v>3670.1</c:v>
                </c:pt>
                <c:pt idx="471">
                  <c:v>3674.95</c:v>
                </c:pt>
                <c:pt idx="472">
                  <c:v>3775.95</c:v>
                </c:pt>
                <c:pt idx="473">
                  <c:v>3823.95</c:v>
                </c:pt>
                <c:pt idx="474">
                  <c:v>3816.7</c:v>
                </c:pt>
                <c:pt idx="475">
                  <c:v>3757.55</c:v>
                </c:pt>
                <c:pt idx="476">
                  <c:v>3737.25</c:v>
                </c:pt>
                <c:pt idx="477">
                  <c:v>3784.9</c:v>
                </c:pt>
                <c:pt idx="478">
                  <c:v>3820.1</c:v>
                </c:pt>
                <c:pt idx="479">
                  <c:v>3797.2</c:v>
                </c:pt>
                <c:pt idx="480">
                  <c:v>3780.95</c:v>
                </c:pt>
                <c:pt idx="481">
                  <c:v>3725.35</c:v>
                </c:pt>
                <c:pt idx="482">
                  <c:v>3767.4</c:v>
                </c:pt>
                <c:pt idx="483">
                  <c:v>3740.65</c:v>
                </c:pt>
                <c:pt idx="484">
                  <c:v>3767</c:v>
                </c:pt>
                <c:pt idx="485">
                  <c:v>3764.25</c:v>
                </c:pt>
                <c:pt idx="486">
                  <c:v>3711.1</c:v>
                </c:pt>
                <c:pt idx="487">
                  <c:v>3727.4</c:v>
                </c:pt>
                <c:pt idx="488">
                  <c:v>3684.55</c:v>
                </c:pt>
                <c:pt idx="489">
                  <c:v>3695.5</c:v>
                </c:pt>
                <c:pt idx="490">
                  <c:v>3722.85</c:v>
                </c:pt>
                <c:pt idx="491">
                  <c:v>3607.7</c:v>
                </c:pt>
                <c:pt idx="492">
                  <c:v>3621.15</c:v>
                </c:pt>
                <c:pt idx="493">
                  <c:v>3587.55</c:v>
                </c:pt>
                <c:pt idx="494">
                  <c:v>3565.15</c:v>
                </c:pt>
                <c:pt idx="495">
                  <c:v>3533.2</c:v>
                </c:pt>
                <c:pt idx="496">
                  <c:v>3527.5</c:v>
                </c:pt>
                <c:pt idx="497">
                  <c:v>3551.25</c:v>
                </c:pt>
                <c:pt idx="498">
                  <c:v>3630.2</c:v>
                </c:pt>
                <c:pt idx="499">
                  <c:v>3570</c:v>
                </c:pt>
                <c:pt idx="500">
                  <c:v>3604.4</c:v>
                </c:pt>
                <c:pt idx="501">
                  <c:v>3560.4</c:v>
                </c:pt>
                <c:pt idx="502">
                  <c:v>3474.9</c:v>
                </c:pt>
                <c:pt idx="503">
                  <c:v>3464.85</c:v>
                </c:pt>
                <c:pt idx="504">
                  <c:v>3444.75</c:v>
                </c:pt>
                <c:pt idx="505">
                  <c:v>3402.15</c:v>
                </c:pt>
                <c:pt idx="506">
                  <c:v>3383.55</c:v>
                </c:pt>
                <c:pt idx="507">
                  <c:v>3320.85</c:v>
                </c:pt>
                <c:pt idx="508">
                  <c:v>3331.7</c:v>
                </c:pt>
                <c:pt idx="509">
                  <c:v>3296.5</c:v>
                </c:pt>
                <c:pt idx="510">
                  <c:v>3326.25</c:v>
                </c:pt>
                <c:pt idx="511">
                  <c:v>3335.1</c:v>
                </c:pt>
                <c:pt idx="512">
                  <c:v>3375.95</c:v>
                </c:pt>
                <c:pt idx="513">
                  <c:v>3462.35</c:v>
                </c:pt>
                <c:pt idx="514">
                  <c:v>3468.35</c:v>
                </c:pt>
                <c:pt idx="515">
                  <c:v>3458.95</c:v>
                </c:pt>
                <c:pt idx="516">
                  <c:v>3468.25</c:v>
                </c:pt>
                <c:pt idx="517">
                  <c:v>3411.7</c:v>
                </c:pt>
                <c:pt idx="518">
                  <c:v>3494.15</c:v>
                </c:pt>
                <c:pt idx="519">
                  <c:v>3405.8</c:v>
                </c:pt>
                <c:pt idx="520">
                  <c:v>3478.4</c:v>
                </c:pt>
                <c:pt idx="521">
                  <c:v>3466.85</c:v>
                </c:pt>
                <c:pt idx="522">
                  <c:v>3254.45</c:v>
                </c:pt>
                <c:pt idx="523">
                  <c:v>3259</c:v>
                </c:pt>
                <c:pt idx="524">
                  <c:v>3262.1</c:v>
                </c:pt>
                <c:pt idx="525">
                  <c:v>3234.05</c:v>
                </c:pt>
                <c:pt idx="526">
                  <c:v>3224.2</c:v>
                </c:pt>
                <c:pt idx="527">
                  <c:v>3229.85</c:v>
                </c:pt>
                <c:pt idx="528">
                  <c:v>3248.6</c:v>
                </c:pt>
                <c:pt idx="529">
                  <c:v>3225</c:v>
                </c:pt>
                <c:pt idx="530">
                  <c:v>3215.15</c:v>
                </c:pt>
                <c:pt idx="531">
                  <c:v>3156.2</c:v>
                </c:pt>
                <c:pt idx="532">
                  <c:v>3269.35</c:v>
                </c:pt>
                <c:pt idx="533">
                  <c:v>3336</c:v>
                </c:pt>
                <c:pt idx="534">
                  <c:v>3360.25</c:v>
                </c:pt>
                <c:pt idx="535">
                  <c:v>3399.65</c:v>
                </c:pt>
                <c:pt idx="536">
                  <c:v>3431.45</c:v>
                </c:pt>
                <c:pt idx="537">
                  <c:v>3404.2</c:v>
                </c:pt>
                <c:pt idx="538">
                  <c:v>3380.6</c:v>
                </c:pt>
                <c:pt idx="539">
                  <c:v>3372.75</c:v>
                </c:pt>
                <c:pt idx="540">
                  <c:v>3402.45</c:v>
                </c:pt>
                <c:pt idx="541">
                  <c:v>3412.35</c:v>
                </c:pt>
                <c:pt idx="542">
                  <c:v>3399.75</c:v>
                </c:pt>
                <c:pt idx="543">
                  <c:v>3435.95</c:v>
                </c:pt>
                <c:pt idx="544">
                  <c:v>3462.35</c:v>
                </c:pt>
                <c:pt idx="545">
                  <c:v>3589</c:v>
                </c:pt>
                <c:pt idx="546">
                  <c:v>3530.05</c:v>
                </c:pt>
                <c:pt idx="547">
                  <c:v>3472.2</c:v>
                </c:pt>
                <c:pt idx="548">
                  <c:v>3382.3</c:v>
                </c:pt>
                <c:pt idx="549">
                  <c:v>3410.7</c:v>
                </c:pt>
                <c:pt idx="550">
                  <c:v>3422.2</c:v>
                </c:pt>
                <c:pt idx="551">
                  <c:v>3444.05</c:v>
                </c:pt>
                <c:pt idx="552">
                  <c:v>3321.65</c:v>
                </c:pt>
                <c:pt idx="553">
                  <c:v>3317.65</c:v>
                </c:pt>
                <c:pt idx="554">
                  <c:v>3238.95</c:v>
                </c:pt>
                <c:pt idx="555">
                  <c:v>3261.2</c:v>
                </c:pt>
                <c:pt idx="556">
                  <c:v>3241.9</c:v>
                </c:pt>
                <c:pt idx="557">
                  <c:v>3271.85</c:v>
                </c:pt>
                <c:pt idx="558">
                  <c:v>3380.4</c:v>
                </c:pt>
                <c:pt idx="559">
                  <c:v>3409.4</c:v>
                </c:pt>
                <c:pt idx="560">
                  <c:v>3403.4</c:v>
                </c:pt>
                <c:pt idx="561">
                  <c:v>3412.4</c:v>
                </c:pt>
                <c:pt idx="562">
                  <c:v>3452.05</c:v>
                </c:pt>
                <c:pt idx="563">
                  <c:v>3383.85</c:v>
                </c:pt>
                <c:pt idx="564">
                  <c:v>3377</c:v>
                </c:pt>
                <c:pt idx="565">
                  <c:v>3362.55</c:v>
                </c:pt>
                <c:pt idx="566">
                  <c:v>3361.15</c:v>
                </c:pt>
                <c:pt idx="567">
                  <c:v>3333.9</c:v>
                </c:pt>
                <c:pt idx="568">
                  <c:v>3268.55</c:v>
                </c:pt>
                <c:pt idx="569">
                  <c:v>3288.9</c:v>
                </c:pt>
                <c:pt idx="570">
                  <c:v>3253.65</c:v>
                </c:pt>
                <c:pt idx="571">
                  <c:v>3289.85</c:v>
                </c:pt>
                <c:pt idx="572">
                  <c:v>3245.7</c:v>
                </c:pt>
                <c:pt idx="573">
                  <c:v>3259.85</c:v>
                </c:pt>
                <c:pt idx="574">
                  <c:v>3270.9</c:v>
                </c:pt>
                <c:pt idx="575">
                  <c:v>3280.15</c:v>
                </c:pt>
                <c:pt idx="576">
                  <c:v>3533.9</c:v>
                </c:pt>
                <c:pt idx="577">
                  <c:v>3568.45</c:v>
                </c:pt>
                <c:pt idx="578">
                  <c:v>3589.25</c:v>
                </c:pt>
                <c:pt idx="579">
                  <c:v>3604.85</c:v>
                </c:pt>
                <c:pt idx="580">
                  <c:v>3584.8</c:v>
                </c:pt>
                <c:pt idx="581">
                  <c:v>3571.1</c:v>
                </c:pt>
                <c:pt idx="582">
                  <c:v>3609.75</c:v>
                </c:pt>
                <c:pt idx="583">
                  <c:v>3633</c:v>
                </c:pt>
                <c:pt idx="584">
                  <c:v>3596.75</c:v>
                </c:pt>
                <c:pt idx="585">
                  <c:v>3563.05</c:v>
                </c:pt>
                <c:pt idx="586">
                  <c:v>3525.1</c:v>
                </c:pt>
                <c:pt idx="587">
                  <c:v>3645.9</c:v>
                </c:pt>
                <c:pt idx="588">
                  <c:v>3600.6</c:v>
                </c:pt>
                <c:pt idx="589">
                  <c:v>3619.3</c:v>
                </c:pt>
                <c:pt idx="590">
                  <c:v>3711.2</c:v>
                </c:pt>
                <c:pt idx="591">
                  <c:v>3679.35</c:v>
                </c:pt>
                <c:pt idx="592">
                  <c:v>3748.9</c:v>
                </c:pt>
                <c:pt idx="593">
                  <c:v>3754.45</c:v>
                </c:pt>
                <c:pt idx="594">
                  <c:v>3782.75</c:v>
                </c:pt>
                <c:pt idx="595">
                  <c:v>3712.5</c:v>
                </c:pt>
                <c:pt idx="596">
                  <c:v>3755.95</c:v>
                </c:pt>
                <c:pt idx="597">
                  <c:v>3738.4</c:v>
                </c:pt>
                <c:pt idx="598">
                  <c:v>3801.8</c:v>
                </c:pt>
                <c:pt idx="599">
                  <c:v>3759.4</c:v>
                </c:pt>
                <c:pt idx="600">
                  <c:v>3698.2</c:v>
                </c:pt>
                <c:pt idx="601">
                  <c:v>3706.7</c:v>
                </c:pt>
                <c:pt idx="602">
                  <c:v>3627.55</c:v>
                </c:pt>
                <c:pt idx="603">
                  <c:v>3590.5</c:v>
                </c:pt>
                <c:pt idx="604">
                  <c:v>3583.4</c:v>
                </c:pt>
                <c:pt idx="605">
                  <c:v>3579.7</c:v>
                </c:pt>
                <c:pt idx="606">
                  <c:v>3633.2</c:v>
                </c:pt>
                <c:pt idx="607">
                  <c:v>3640.15</c:v>
                </c:pt>
                <c:pt idx="608">
                  <c:v>3625.7</c:v>
                </c:pt>
                <c:pt idx="609">
                  <c:v>3748.8</c:v>
                </c:pt>
                <c:pt idx="610">
                  <c:v>3750.15</c:v>
                </c:pt>
                <c:pt idx="611">
                  <c:v>3786.9</c:v>
                </c:pt>
                <c:pt idx="612">
                  <c:v>3810.75</c:v>
                </c:pt>
                <c:pt idx="613">
                  <c:v>3750.75</c:v>
                </c:pt>
                <c:pt idx="614">
                  <c:v>3732.4</c:v>
                </c:pt>
                <c:pt idx="615">
                  <c:v>3765.95</c:v>
                </c:pt>
                <c:pt idx="616">
                  <c:v>3765.9</c:v>
                </c:pt>
                <c:pt idx="617">
                  <c:v>3624.4</c:v>
                </c:pt>
                <c:pt idx="618">
                  <c:v>3594.7</c:v>
                </c:pt>
                <c:pt idx="619">
                  <c:v>3653.85</c:v>
                </c:pt>
                <c:pt idx="620">
                  <c:v>3622.5</c:v>
                </c:pt>
                <c:pt idx="621">
                  <c:v>3691.95</c:v>
                </c:pt>
                <c:pt idx="622">
                  <c:v>3652.05</c:v>
                </c:pt>
                <c:pt idx="623">
                  <c:v>3656.35</c:v>
                </c:pt>
                <c:pt idx="624">
                  <c:v>3686.7</c:v>
                </c:pt>
                <c:pt idx="625">
                  <c:v>3695.05</c:v>
                </c:pt>
                <c:pt idx="626">
                  <c:v>3655.4</c:v>
                </c:pt>
                <c:pt idx="627">
                  <c:v>3622.05</c:v>
                </c:pt>
                <c:pt idx="628">
                  <c:v>3585.55</c:v>
                </c:pt>
                <c:pt idx="629">
                  <c:v>3559.95</c:v>
                </c:pt>
                <c:pt idx="630">
                  <c:v>3585.25</c:v>
                </c:pt>
                <c:pt idx="631">
                  <c:v>3591.6</c:v>
                </c:pt>
                <c:pt idx="632">
                  <c:v>3549.1</c:v>
                </c:pt>
                <c:pt idx="633">
                  <c:v>3576.5</c:v>
                </c:pt>
                <c:pt idx="634">
                  <c:v>3559.15</c:v>
                </c:pt>
                <c:pt idx="635">
                  <c:v>3552.05</c:v>
                </c:pt>
                <c:pt idx="636">
                  <c:v>3612.4</c:v>
                </c:pt>
                <c:pt idx="637">
                  <c:v>3627.45</c:v>
                </c:pt>
                <c:pt idx="638">
                  <c:v>3697.55</c:v>
                </c:pt>
                <c:pt idx="639">
                  <c:v>3735.75</c:v>
                </c:pt>
                <c:pt idx="640">
                  <c:v>3866.65</c:v>
                </c:pt>
                <c:pt idx="641">
                  <c:v>3770.2</c:v>
                </c:pt>
                <c:pt idx="642">
                  <c:v>3767.85</c:v>
                </c:pt>
                <c:pt idx="643">
                  <c:v>3739.65</c:v>
                </c:pt>
                <c:pt idx="644">
                  <c:v>3784.7</c:v>
                </c:pt>
                <c:pt idx="645">
                  <c:v>3810.6</c:v>
                </c:pt>
                <c:pt idx="646">
                  <c:v>3734.7</c:v>
                </c:pt>
                <c:pt idx="647">
                  <c:v>3830.05</c:v>
                </c:pt>
                <c:pt idx="648">
                  <c:v>3820.3</c:v>
                </c:pt>
                <c:pt idx="649">
                  <c:v>3758.85</c:v>
                </c:pt>
                <c:pt idx="650">
                  <c:v>3726</c:v>
                </c:pt>
                <c:pt idx="651">
                  <c:v>3698.6</c:v>
                </c:pt>
                <c:pt idx="652">
                  <c:v>3714.45</c:v>
                </c:pt>
                <c:pt idx="653">
                  <c:v>3694</c:v>
                </c:pt>
                <c:pt idx="654">
                  <c:v>3706.05</c:v>
                </c:pt>
                <c:pt idx="655">
                  <c:v>3712.55</c:v>
                </c:pt>
                <c:pt idx="656">
                  <c:v>3719.7</c:v>
                </c:pt>
                <c:pt idx="657">
                  <c:v>3693.05</c:v>
                </c:pt>
                <c:pt idx="658">
                  <c:v>3698.25</c:v>
                </c:pt>
                <c:pt idx="659">
                  <c:v>3677.15</c:v>
                </c:pt>
                <c:pt idx="660">
                  <c:v>3675.45</c:v>
                </c:pt>
                <c:pt idx="661">
                  <c:v>3715.1</c:v>
                </c:pt>
                <c:pt idx="662">
                  <c:v>3689.25</c:v>
                </c:pt>
                <c:pt idx="663">
                  <c:v>3656.7</c:v>
                </c:pt>
                <c:pt idx="664">
                  <c:v>3627.35</c:v>
                </c:pt>
                <c:pt idx="665">
                  <c:v>3580</c:v>
                </c:pt>
                <c:pt idx="666">
                  <c:v>3554.1</c:v>
                </c:pt>
                <c:pt idx="667">
                  <c:v>3610.45</c:v>
                </c:pt>
                <c:pt idx="668">
                  <c:v>3619.6</c:v>
                </c:pt>
                <c:pt idx="669">
                  <c:v>3600.55</c:v>
                </c:pt>
                <c:pt idx="670">
                  <c:v>3591.4</c:v>
                </c:pt>
                <c:pt idx="671">
                  <c:v>3602.35</c:v>
                </c:pt>
                <c:pt idx="672">
                  <c:v>3571.4</c:v>
                </c:pt>
                <c:pt idx="673">
                  <c:v>3630.5</c:v>
                </c:pt>
                <c:pt idx="674">
                  <c:v>3634.65</c:v>
                </c:pt>
                <c:pt idx="675">
                  <c:v>3585.4</c:v>
                </c:pt>
                <c:pt idx="676">
                  <c:v>3546.9</c:v>
                </c:pt>
                <c:pt idx="677">
                  <c:v>3545.3</c:v>
                </c:pt>
                <c:pt idx="678">
                  <c:v>3488.4</c:v>
                </c:pt>
                <c:pt idx="679">
                  <c:v>3489.5</c:v>
                </c:pt>
                <c:pt idx="680">
                  <c:v>3490.6</c:v>
                </c:pt>
                <c:pt idx="681">
                  <c:v>3429.3</c:v>
                </c:pt>
                <c:pt idx="682">
                  <c:v>3442.4</c:v>
                </c:pt>
                <c:pt idx="683">
                  <c:v>3396.95</c:v>
                </c:pt>
                <c:pt idx="684">
                  <c:v>3408.4</c:v>
                </c:pt>
                <c:pt idx="685">
                  <c:v>3429.85</c:v>
                </c:pt>
                <c:pt idx="686">
                  <c:v>3394.45</c:v>
                </c:pt>
                <c:pt idx="687">
                  <c:v>3345.85</c:v>
                </c:pt>
                <c:pt idx="688">
                  <c:v>3338.85</c:v>
                </c:pt>
                <c:pt idx="689">
                  <c:v>3335.95</c:v>
                </c:pt>
                <c:pt idx="690">
                  <c:v>3295.95</c:v>
                </c:pt>
                <c:pt idx="691">
                  <c:v>3264.75</c:v>
                </c:pt>
                <c:pt idx="692">
                  <c:v>3280.6</c:v>
                </c:pt>
                <c:pt idx="693">
                  <c:v>3256.35</c:v>
                </c:pt>
                <c:pt idx="694">
                  <c:v>3283.75</c:v>
                </c:pt>
                <c:pt idx="695">
                  <c:v>3311.85</c:v>
                </c:pt>
                <c:pt idx="696">
                  <c:v>3270.2</c:v>
                </c:pt>
                <c:pt idx="697">
                  <c:v>3267.05</c:v>
                </c:pt>
                <c:pt idx="698">
                  <c:v>3274.5</c:v>
                </c:pt>
                <c:pt idx="699">
                  <c:v>3201.5</c:v>
                </c:pt>
                <c:pt idx="700">
                  <c:v>3173.4</c:v>
                </c:pt>
                <c:pt idx="701">
                  <c:v>3189.65</c:v>
                </c:pt>
                <c:pt idx="702">
                  <c:v>3116.45</c:v>
                </c:pt>
                <c:pt idx="703">
                  <c:v>3120.7</c:v>
                </c:pt>
                <c:pt idx="704">
                  <c:v>3100.8</c:v>
                </c:pt>
                <c:pt idx="705">
                  <c:v>3187.85</c:v>
                </c:pt>
                <c:pt idx="706">
                  <c:v>3219.75</c:v>
                </c:pt>
                <c:pt idx="707">
                  <c:v>3266.2</c:v>
                </c:pt>
                <c:pt idx="708">
                  <c:v>3284.65</c:v>
                </c:pt>
                <c:pt idx="709">
                  <c:v>3282.75</c:v>
                </c:pt>
                <c:pt idx="710">
                  <c:v>3308.45</c:v>
                </c:pt>
                <c:pt idx="711">
                  <c:v>3301.4</c:v>
                </c:pt>
                <c:pt idx="712">
                  <c:v>3283.75</c:v>
                </c:pt>
                <c:pt idx="713">
                  <c:v>3285</c:v>
                </c:pt>
                <c:pt idx="714">
                  <c:v>3280.5</c:v>
                </c:pt>
                <c:pt idx="715">
                  <c:v>3269.2</c:v>
                </c:pt>
                <c:pt idx="716">
                  <c:v>3267.5</c:v>
                </c:pt>
                <c:pt idx="717">
                  <c:v>3309.75</c:v>
                </c:pt>
                <c:pt idx="718">
                  <c:v>3216.5</c:v>
                </c:pt>
                <c:pt idx="719">
                  <c:v>3166.65</c:v>
                </c:pt>
                <c:pt idx="720">
                  <c:v>3196.25</c:v>
                </c:pt>
                <c:pt idx="721">
                  <c:v>3148.8</c:v>
                </c:pt>
                <c:pt idx="722">
                  <c:v>3157.25</c:v>
                </c:pt>
                <c:pt idx="723">
                  <c:v>3214.55</c:v>
                </c:pt>
                <c:pt idx="724">
                  <c:v>3262.6</c:v>
                </c:pt>
                <c:pt idx="725">
                  <c:v>3283.95</c:v>
                </c:pt>
                <c:pt idx="726">
                  <c:v>3274.5</c:v>
                </c:pt>
                <c:pt idx="727">
                  <c:v>3304.5</c:v>
                </c:pt>
                <c:pt idx="728">
                  <c:v>3306.65</c:v>
                </c:pt>
                <c:pt idx="729">
                  <c:v>3339.5</c:v>
                </c:pt>
                <c:pt idx="730">
                  <c:v>3248.6</c:v>
                </c:pt>
                <c:pt idx="731">
                  <c:v>3261.35</c:v>
                </c:pt>
                <c:pt idx="732">
                  <c:v>3263.2</c:v>
                </c:pt>
                <c:pt idx="733">
                  <c:v>3185.8</c:v>
                </c:pt>
                <c:pt idx="734">
                  <c:v>3213.3</c:v>
                </c:pt>
                <c:pt idx="735">
                  <c:v>3199.1</c:v>
                </c:pt>
                <c:pt idx="736">
                  <c:v>3172.8</c:v>
                </c:pt>
                <c:pt idx="737">
                  <c:v>3176.05</c:v>
                </c:pt>
                <c:pt idx="738">
                  <c:v>3136.15</c:v>
                </c:pt>
                <c:pt idx="739">
                  <c:v>3100.3</c:v>
                </c:pt>
                <c:pt idx="740">
                  <c:v>3116.8</c:v>
                </c:pt>
                <c:pt idx="741">
                  <c:v>3104.45</c:v>
                </c:pt>
                <c:pt idx="742">
                  <c:v>3082.2</c:v>
                </c:pt>
                <c:pt idx="743">
                  <c:v>3079.4</c:v>
                </c:pt>
                <c:pt idx="744">
                  <c:v>3048.55</c:v>
                </c:pt>
                <c:pt idx="745">
                  <c:v>3067.2</c:v>
                </c:pt>
                <c:pt idx="746">
                  <c:v>3061.2</c:v>
                </c:pt>
                <c:pt idx="747">
                  <c:v>3070</c:v>
                </c:pt>
                <c:pt idx="748">
                  <c:v>3075.6</c:v>
                </c:pt>
                <c:pt idx="749">
                  <c:v>3078.3</c:v>
                </c:pt>
                <c:pt idx="750">
                  <c:v>3050.45</c:v>
                </c:pt>
                <c:pt idx="751">
                  <c:v>3071.75</c:v>
                </c:pt>
                <c:pt idx="752">
                  <c:v>3011.1</c:v>
                </c:pt>
                <c:pt idx="753">
                  <c:v>3010.65</c:v>
                </c:pt>
                <c:pt idx="754">
                  <c:v>3017.25</c:v>
                </c:pt>
                <c:pt idx="755">
                  <c:v>2988.55</c:v>
                </c:pt>
                <c:pt idx="756">
                  <c:v>2955.9</c:v>
                </c:pt>
                <c:pt idx="757">
                  <c:v>2921.25</c:v>
                </c:pt>
                <c:pt idx="758">
                  <c:v>2904.6</c:v>
                </c:pt>
                <c:pt idx="759">
                  <c:v>2904.4</c:v>
                </c:pt>
                <c:pt idx="760">
                  <c:v>2902.1</c:v>
                </c:pt>
                <c:pt idx="761">
                  <c:v>2977.15</c:v>
                </c:pt>
                <c:pt idx="762">
                  <c:v>3001.9</c:v>
                </c:pt>
                <c:pt idx="763">
                  <c:v>3004.05</c:v>
                </c:pt>
                <c:pt idx="764">
                  <c:v>2987</c:v>
                </c:pt>
                <c:pt idx="765">
                  <c:v>3002.1</c:v>
                </c:pt>
                <c:pt idx="766">
                  <c:v>3008.35</c:v>
                </c:pt>
                <c:pt idx="767">
                  <c:v>3029</c:v>
                </c:pt>
                <c:pt idx="768">
                  <c:v>2979.2</c:v>
                </c:pt>
                <c:pt idx="769">
                  <c:v>2976.3</c:v>
                </c:pt>
                <c:pt idx="770">
                  <c:v>2989.3</c:v>
                </c:pt>
                <c:pt idx="771">
                  <c:v>2995.65</c:v>
                </c:pt>
                <c:pt idx="772">
                  <c:v>2996.45</c:v>
                </c:pt>
                <c:pt idx="773">
                  <c:v>3033.45</c:v>
                </c:pt>
                <c:pt idx="774">
                  <c:v>3055.55</c:v>
                </c:pt>
                <c:pt idx="775">
                  <c:v>3084.75</c:v>
                </c:pt>
                <c:pt idx="776">
                  <c:v>3096.5</c:v>
                </c:pt>
                <c:pt idx="777">
                  <c:v>3087.6</c:v>
                </c:pt>
                <c:pt idx="778">
                  <c:v>3045.55</c:v>
                </c:pt>
                <c:pt idx="779">
                  <c:v>3144</c:v>
                </c:pt>
                <c:pt idx="780">
                  <c:v>3106.4</c:v>
                </c:pt>
                <c:pt idx="781">
                  <c:v>3099.85</c:v>
                </c:pt>
                <c:pt idx="782">
                  <c:v>3074.65</c:v>
                </c:pt>
                <c:pt idx="783">
                  <c:v>3038.3</c:v>
                </c:pt>
                <c:pt idx="784">
                  <c:v>3047.65</c:v>
                </c:pt>
                <c:pt idx="785">
                  <c:v>3028.1</c:v>
                </c:pt>
                <c:pt idx="786">
                  <c:v>2975.7</c:v>
                </c:pt>
                <c:pt idx="787">
                  <c:v>2972.6</c:v>
                </c:pt>
                <c:pt idx="788">
                  <c:v>2939.15</c:v>
                </c:pt>
                <c:pt idx="789">
                  <c:v>2970.25</c:v>
                </c:pt>
                <c:pt idx="790">
                  <c:v>2971.1</c:v>
                </c:pt>
                <c:pt idx="791">
                  <c:v>2974</c:v>
                </c:pt>
                <c:pt idx="792">
                  <c:v>2968.6</c:v>
                </c:pt>
                <c:pt idx="793">
                  <c:v>2954.3</c:v>
                </c:pt>
                <c:pt idx="794">
                  <c:v>2908</c:v>
                </c:pt>
                <c:pt idx="795">
                  <c:v>2907.05</c:v>
                </c:pt>
                <c:pt idx="796">
                  <c:v>2912.5</c:v>
                </c:pt>
                <c:pt idx="797">
                  <c:v>2852.6</c:v>
                </c:pt>
                <c:pt idx="798">
                  <c:v>2876.25</c:v>
                </c:pt>
                <c:pt idx="799">
                  <c:v>2877</c:v>
                </c:pt>
                <c:pt idx="800">
                  <c:v>2906.95</c:v>
                </c:pt>
                <c:pt idx="801">
                  <c:v>2881.45</c:v>
                </c:pt>
                <c:pt idx="802">
                  <c:v>2855.7</c:v>
                </c:pt>
                <c:pt idx="803">
                  <c:v>2861.65</c:v>
                </c:pt>
                <c:pt idx="804">
                  <c:v>2827.25</c:v>
                </c:pt>
                <c:pt idx="805">
                  <c:v>2823.25</c:v>
                </c:pt>
                <c:pt idx="806">
                  <c:v>2802.5</c:v>
                </c:pt>
                <c:pt idx="807">
                  <c:v>2812.25</c:v>
                </c:pt>
                <c:pt idx="808">
                  <c:v>2742.15</c:v>
                </c:pt>
                <c:pt idx="809">
                  <c:v>2707.95</c:v>
                </c:pt>
                <c:pt idx="810">
                  <c:v>2707.25</c:v>
                </c:pt>
                <c:pt idx="811">
                  <c:v>2683.45</c:v>
                </c:pt>
                <c:pt idx="812">
                  <c:v>2712.55</c:v>
                </c:pt>
                <c:pt idx="813">
                  <c:v>2701.65</c:v>
                </c:pt>
                <c:pt idx="814">
                  <c:v>2721.85</c:v>
                </c:pt>
                <c:pt idx="815">
                  <c:v>2762.4</c:v>
                </c:pt>
                <c:pt idx="816">
                  <c:v>2790.25</c:v>
                </c:pt>
                <c:pt idx="817">
                  <c:v>2779.55</c:v>
                </c:pt>
                <c:pt idx="818">
                  <c:v>2773.2</c:v>
                </c:pt>
                <c:pt idx="819">
                  <c:v>2757.85</c:v>
                </c:pt>
                <c:pt idx="820">
                  <c:v>2745.45</c:v>
                </c:pt>
                <c:pt idx="821">
                  <c:v>2748.4</c:v>
                </c:pt>
                <c:pt idx="822">
                  <c:v>2751.25</c:v>
                </c:pt>
                <c:pt idx="823">
                  <c:v>2732.9</c:v>
                </c:pt>
                <c:pt idx="824">
                  <c:v>2670.4</c:v>
                </c:pt>
                <c:pt idx="825">
                  <c:v>2654.05</c:v>
                </c:pt>
                <c:pt idx="826">
                  <c:v>2663.85</c:v>
                </c:pt>
                <c:pt idx="827">
                  <c:v>2641.85</c:v>
                </c:pt>
                <c:pt idx="828">
                  <c:v>2663.45</c:v>
                </c:pt>
                <c:pt idx="829">
                  <c:v>2641</c:v>
                </c:pt>
                <c:pt idx="830">
                  <c:v>2633.2</c:v>
                </c:pt>
                <c:pt idx="831">
                  <c:v>2629.55</c:v>
                </c:pt>
                <c:pt idx="832">
                  <c:v>2568.3000000000002</c:v>
                </c:pt>
                <c:pt idx="833">
                  <c:v>2579.25</c:v>
                </c:pt>
                <c:pt idx="834">
                  <c:v>2569.3000000000002</c:v>
                </c:pt>
                <c:pt idx="835">
                  <c:v>2577.6999999999998</c:v>
                </c:pt>
                <c:pt idx="836">
                  <c:v>2605.6</c:v>
                </c:pt>
                <c:pt idx="837">
                  <c:v>2585.65</c:v>
                </c:pt>
                <c:pt idx="838">
                  <c:v>2587.9</c:v>
                </c:pt>
                <c:pt idx="839">
                  <c:v>2580.0500000000002</c:v>
                </c:pt>
                <c:pt idx="840">
                  <c:v>2583.6999999999998</c:v>
                </c:pt>
                <c:pt idx="841">
                  <c:v>2548.4499999999998</c:v>
                </c:pt>
                <c:pt idx="842">
                  <c:v>2572.6999999999998</c:v>
                </c:pt>
                <c:pt idx="843">
                  <c:v>2537.4</c:v>
                </c:pt>
                <c:pt idx="844">
                  <c:v>2514.9</c:v>
                </c:pt>
                <c:pt idx="845">
                  <c:v>2515.0500000000002</c:v>
                </c:pt>
                <c:pt idx="846">
                  <c:v>2500.3000000000002</c:v>
                </c:pt>
                <c:pt idx="847">
                  <c:v>2494.4</c:v>
                </c:pt>
                <c:pt idx="848">
                  <c:v>2493.35</c:v>
                </c:pt>
                <c:pt idx="849">
                  <c:v>2519.0500000000002</c:v>
                </c:pt>
                <c:pt idx="850">
                  <c:v>2508.15</c:v>
                </c:pt>
                <c:pt idx="851">
                  <c:v>2514.0500000000002</c:v>
                </c:pt>
                <c:pt idx="852">
                  <c:v>2459.9499999999998</c:v>
                </c:pt>
                <c:pt idx="853">
                  <c:v>2455.65</c:v>
                </c:pt>
                <c:pt idx="854">
                  <c:v>2450.35</c:v>
                </c:pt>
                <c:pt idx="855">
                  <c:v>2399.1</c:v>
                </c:pt>
                <c:pt idx="856">
                  <c:v>2355.6</c:v>
                </c:pt>
                <c:pt idx="857">
                  <c:v>2332</c:v>
                </c:pt>
                <c:pt idx="858">
                  <c:v>2375.5</c:v>
                </c:pt>
                <c:pt idx="859">
                  <c:v>2368.25</c:v>
                </c:pt>
                <c:pt idx="860">
                  <c:v>2397.1</c:v>
                </c:pt>
                <c:pt idx="861">
                  <c:v>2403.4499999999998</c:v>
                </c:pt>
                <c:pt idx="862">
                  <c:v>2396.1</c:v>
                </c:pt>
                <c:pt idx="863">
                  <c:v>2358.9499999999998</c:v>
                </c:pt>
                <c:pt idx="864">
                  <c:v>2382.4</c:v>
                </c:pt>
                <c:pt idx="865">
                  <c:v>2372.8000000000002</c:v>
                </c:pt>
                <c:pt idx="866">
                  <c:v>2401</c:v>
                </c:pt>
                <c:pt idx="867">
                  <c:v>2399.1</c:v>
                </c:pt>
                <c:pt idx="868">
                  <c:v>2394.5</c:v>
                </c:pt>
                <c:pt idx="869">
                  <c:v>2431.5500000000002</c:v>
                </c:pt>
                <c:pt idx="870">
                  <c:v>2463.6</c:v>
                </c:pt>
                <c:pt idx="871">
                  <c:v>2474.15</c:v>
                </c:pt>
                <c:pt idx="872">
                  <c:v>2500.3000000000002</c:v>
                </c:pt>
                <c:pt idx="873">
                  <c:v>2522.4</c:v>
                </c:pt>
                <c:pt idx="874">
                  <c:v>2524.3000000000002</c:v>
                </c:pt>
                <c:pt idx="875">
                  <c:v>2506.9</c:v>
                </c:pt>
                <c:pt idx="876">
                  <c:v>2519.0500000000002</c:v>
                </c:pt>
                <c:pt idx="877">
                  <c:v>2468.5</c:v>
                </c:pt>
                <c:pt idx="878">
                  <c:v>2462.5500000000002</c:v>
                </c:pt>
                <c:pt idx="879">
                  <c:v>2466.75</c:v>
                </c:pt>
                <c:pt idx="880">
                  <c:v>2446.9</c:v>
                </c:pt>
                <c:pt idx="881">
                  <c:v>2458</c:v>
                </c:pt>
                <c:pt idx="882">
                  <c:v>2463.1</c:v>
                </c:pt>
                <c:pt idx="883">
                  <c:v>2308.1</c:v>
                </c:pt>
                <c:pt idx="884">
                  <c:v>2345.9</c:v>
                </c:pt>
                <c:pt idx="885">
                  <c:v>2377.15</c:v>
                </c:pt>
                <c:pt idx="886">
                  <c:v>2335.5500000000002</c:v>
                </c:pt>
                <c:pt idx="887">
                  <c:v>2331.25</c:v>
                </c:pt>
                <c:pt idx="888">
                  <c:v>2356.6</c:v>
                </c:pt>
                <c:pt idx="889">
                  <c:v>2370.75</c:v>
                </c:pt>
                <c:pt idx="890">
                  <c:v>2364.6999999999998</c:v>
                </c:pt>
                <c:pt idx="891">
                  <c:v>2371.3000000000002</c:v>
                </c:pt>
                <c:pt idx="892">
                  <c:v>2385.0500000000002</c:v>
                </c:pt>
                <c:pt idx="893">
                  <c:v>2424.1</c:v>
                </c:pt>
                <c:pt idx="894">
                  <c:v>2407.9499999999998</c:v>
                </c:pt>
                <c:pt idx="895">
                  <c:v>2405.85</c:v>
                </c:pt>
                <c:pt idx="896">
                  <c:v>2417.1999999999998</c:v>
                </c:pt>
                <c:pt idx="897">
                  <c:v>2446.6</c:v>
                </c:pt>
                <c:pt idx="898">
                  <c:v>2437.4</c:v>
                </c:pt>
                <c:pt idx="899">
                  <c:v>2468.1999999999998</c:v>
                </c:pt>
                <c:pt idx="900">
                  <c:v>2484.65</c:v>
                </c:pt>
                <c:pt idx="901">
                  <c:v>2538.1</c:v>
                </c:pt>
                <c:pt idx="902">
                  <c:v>2562.1</c:v>
                </c:pt>
                <c:pt idx="903">
                  <c:v>2597.5500000000002</c:v>
                </c:pt>
                <c:pt idx="904">
                  <c:v>2613.6</c:v>
                </c:pt>
                <c:pt idx="905">
                  <c:v>2565.75</c:v>
                </c:pt>
                <c:pt idx="906">
                  <c:v>2597.5</c:v>
                </c:pt>
                <c:pt idx="907">
                  <c:v>2553.25</c:v>
                </c:pt>
                <c:pt idx="908">
                  <c:v>2580.15</c:v>
                </c:pt>
                <c:pt idx="909">
                  <c:v>2503.5500000000002</c:v>
                </c:pt>
                <c:pt idx="910">
                  <c:v>2481.1</c:v>
                </c:pt>
                <c:pt idx="911">
                  <c:v>2483.0500000000002</c:v>
                </c:pt>
                <c:pt idx="912">
                  <c:v>2483</c:v>
                </c:pt>
                <c:pt idx="913">
                  <c:v>2489.6</c:v>
                </c:pt>
                <c:pt idx="914">
                  <c:v>2508.15</c:v>
                </c:pt>
                <c:pt idx="915">
                  <c:v>2521.8000000000002</c:v>
                </c:pt>
                <c:pt idx="916">
                  <c:v>2482.85</c:v>
                </c:pt>
                <c:pt idx="917">
                  <c:v>2522.6999999999998</c:v>
                </c:pt>
                <c:pt idx="918">
                  <c:v>2591.1</c:v>
                </c:pt>
                <c:pt idx="919">
                  <c:v>2575.9</c:v>
                </c:pt>
                <c:pt idx="920">
                  <c:v>2584.65</c:v>
                </c:pt>
                <c:pt idx="921">
                  <c:v>2615.4499999999998</c:v>
                </c:pt>
                <c:pt idx="922">
                  <c:v>2583.5</c:v>
                </c:pt>
                <c:pt idx="923">
                  <c:v>2596.85</c:v>
                </c:pt>
                <c:pt idx="924">
                  <c:v>2617</c:v>
                </c:pt>
                <c:pt idx="925">
                  <c:v>2615.65</c:v>
                </c:pt>
                <c:pt idx="926">
                  <c:v>2617.9</c:v>
                </c:pt>
                <c:pt idx="927">
                  <c:v>2638.7</c:v>
                </c:pt>
                <c:pt idx="928">
                  <c:v>2653</c:v>
                </c:pt>
                <c:pt idx="929">
                  <c:v>2613.75</c:v>
                </c:pt>
                <c:pt idx="930">
                  <c:v>2592.25</c:v>
                </c:pt>
                <c:pt idx="931">
                  <c:v>2595.4</c:v>
                </c:pt>
                <c:pt idx="932">
                  <c:v>2610.1999999999998</c:v>
                </c:pt>
                <c:pt idx="933">
                  <c:v>2601.75</c:v>
                </c:pt>
                <c:pt idx="934">
                  <c:v>2606.1999999999998</c:v>
                </c:pt>
                <c:pt idx="935">
                  <c:v>2573.35</c:v>
                </c:pt>
                <c:pt idx="936">
                  <c:v>2565.8000000000002</c:v>
                </c:pt>
                <c:pt idx="937">
                  <c:v>2582</c:v>
                </c:pt>
                <c:pt idx="938">
                  <c:v>2644.3</c:v>
                </c:pt>
                <c:pt idx="939">
                  <c:v>2656.65</c:v>
                </c:pt>
                <c:pt idx="940">
                  <c:v>2629.8</c:v>
                </c:pt>
                <c:pt idx="941">
                  <c:v>2651.8</c:v>
                </c:pt>
                <c:pt idx="942">
                  <c:v>2641</c:v>
                </c:pt>
                <c:pt idx="943">
                  <c:v>2718.1</c:v>
                </c:pt>
                <c:pt idx="944">
                  <c:v>2741.55</c:v>
                </c:pt>
                <c:pt idx="945">
                  <c:v>2769.7</c:v>
                </c:pt>
                <c:pt idx="946">
                  <c:v>2763.65</c:v>
                </c:pt>
                <c:pt idx="947">
                  <c:v>2728.45</c:v>
                </c:pt>
                <c:pt idx="948">
                  <c:v>2754.95</c:v>
                </c:pt>
                <c:pt idx="949">
                  <c:v>2761.5</c:v>
                </c:pt>
                <c:pt idx="950">
                  <c:v>2736.4</c:v>
                </c:pt>
                <c:pt idx="951">
                  <c:v>2703.8</c:v>
                </c:pt>
                <c:pt idx="952">
                  <c:v>2670.3</c:v>
                </c:pt>
                <c:pt idx="953">
                  <c:v>2683.9</c:v>
                </c:pt>
                <c:pt idx="954">
                  <c:v>2665.65</c:v>
                </c:pt>
                <c:pt idx="955">
                  <c:v>2631.5</c:v>
                </c:pt>
                <c:pt idx="956">
                  <c:v>2644.55</c:v>
                </c:pt>
                <c:pt idx="957">
                  <c:v>2641.1</c:v>
                </c:pt>
                <c:pt idx="958">
                  <c:v>2625</c:v>
                </c:pt>
                <c:pt idx="959">
                  <c:v>2617.8000000000002</c:v>
                </c:pt>
                <c:pt idx="960">
                  <c:v>2598.65</c:v>
                </c:pt>
                <c:pt idx="961">
                  <c:v>2621.35</c:v>
                </c:pt>
                <c:pt idx="962">
                  <c:v>2624.5</c:v>
                </c:pt>
                <c:pt idx="963">
                  <c:v>2680.1</c:v>
                </c:pt>
                <c:pt idx="964">
                  <c:v>2730.5</c:v>
                </c:pt>
                <c:pt idx="965">
                  <c:v>2592.85</c:v>
                </c:pt>
                <c:pt idx="966">
                  <c:v>2585.1</c:v>
                </c:pt>
                <c:pt idx="967">
                  <c:v>2574.1999999999998</c:v>
                </c:pt>
                <c:pt idx="968">
                  <c:v>2606.9499999999998</c:v>
                </c:pt>
                <c:pt idx="969">
                  <c:v>2531.5</c:v>
                </c:pt>
                <c:pt idx="970">
                  <c:v>2576.9499999999998</c:v>
                </c:pt>
                <c:pt idx="971">
                  <c:v>2600.35</c:v>
                </c:pt>
                <c:pt idx="972">
                  <c:v>2655.5</c:v>
                </c:pt>
                <c:pt idx="973">
                  <c:v>2672.45</c:v>
                </c:pt>
                <c:pt idx="974">
                  <c:v>2737.6</c:v>
                </c:pt>
                <c:pt idx="975">
                  <c:v>2666.65</c:v>
                </c:pt>
                <c:pt idx="976">
                  <c:v>2684</c:v>
                </c:pt>
                <c:pt idx="977">
                  <c:v>2619.8000000000002</c:v>
                </c:pt>
                <c:pt idx="978">
                  <c:v>2611.8000000000002</c:v>
                </c:pt>
                <c:pt idx="979">
                  <c:v>2656.15</c:v>
                </c:pt>
                <c:pt idx="980">
                  <c:v>2700.6</c:v>
                </c:pt>
                <c:pt idx="981">
                  <c:v>2705.55</c:v>
                </c:pt>
                <c:pt idx="982">
                  <c:v>2661.15</c:v>
                </c:pt>
                <c:pt idx="983">
                  <c:v>2603.4499999999998</c:v>
                </c:pt>
                <c:pt idx="984">
                  <c:v>2626.7</c:v>
                </c:pt>
                <c:pt idx="985">
                  <c:v>2637.75</c:v>
                </c:pt>
                <c:pt idx="986">
                  <c:v>2631.65</c:v>
                </c:pt>
                <c:pt idx="987">
                  <c:v>2627.35</c:v>
                </c:pt>
                <c:pt idx="988">
                  <c:v>2612.6</c:v>
                </c:pt>
                <c:pt idx="989">
                  <c:v>2622</c:v>
                </c:pt>
                <c:pt idx="990">
                  <c:v>2604.65</c:v>
                </c:pt>
                <c:pt idx="991">
                  <c:v>2531.6999999999998</c:v>
                </c:pt>
                <c:pt idx="992">
                  <c:v>2532.9</c:v>
                </c:pt>
                <c:pt idx="993">
                  <c:v>2466.4499999999998</c:v>
                </c:pt>
                <c:pt idx="994">
                  <c:v>2460.6999999999998</c:v>
                </c:pt>
                <c:pt idx="995">
                  <c:v>2480.1999999999998</c:v>
                </c:pt>
                <c:pt idx="996">
                  <c:v>2417.6</c:v>
                </c:pt>
                <c:pt idx="997">
                  <c:v>2440.6</c:v>
                </c:pt>
                <c:pt idx="998">
                  <c:v>2478.6999999999998</c:v>
                </c:pt>
                <c:pt idx="999">
                  <c:v>2492.1999999999998</c:v>
                </c:pt>
                <c:pt idx="1000">
                  <c:v>2493.85</c:v>
                </c:pt>
                <c:pt idx="1001">
                  <c:v>2471.9499999999998</c:v>
                </c:pt>
                <c:pt idx="1002">
                  <c:v>2472.35</c:v>
                </c:pt>
                <c:pt idx="1003">
                  <c:v>2433.6</c:v>
                </c:pt>
                <c:pt idx="1004">
                  <c:v>2446.9499999999998</c:v>
                </c:pt>
                <c:pt idx="1005">
                  <c:v>2432.8000000000002</c:v>
                </c:pt>
                <c:pt idx="1006">
                  <c:v>2423.65</c:v>
                </c:pt>
                <c:pt idx="1007">
                  <c:v>2416.4</c:v>
                </c:pt>
                <c:pt idx="1008">
                  <c:v>2384.9499999999998</c:v>
                </c:pt>
                <c:pt idx="1009">
                  <c:v>2376.25</c:v>
                </c:pt>
                <c:pt idx="1010">
                  <c:v>2352.0500000000002</c:v>
                </c:pt>
                <c:pt idx="1011">
                  <c:v>2334.65</c:v>
                </c:pt>
                <c:pt idx="1012">
                  <c:v>2303.5500000000002</c:v>
                </c:pt>
                <c:pt idx="1013">
                  <c:v>2293.1999999999998</c:v>
                </c:pt>
                <c:pt idx="1014">
                  <c:v>2328.85</c:v>
                </c:pt>
                <c:pt idx="1015">
                  <c:v>2325</c:v>
                </c:pt>
                <c:pt idx="1016">
                  <c:v>2288.6</c:v>
                </c:pt>
                <c:pt idx="1017">
                  <c:v>2271.1999999999998</c:v>
                </c:pt>
                <c:pt idx="1018">
                  <c:v>2241.1999999999998</c:v>
                </c:pt>
                <c:pt idx="1019">
                  <c:v>2237.4499999999998</c:v>
                </c:pt>
                <c:pt idx="1020">
                  <c:v>2189.6999999999998</c:v>
                </c:pt>
                <c:pt idx="1021">
                  <c:v>2127.4499999999998</c:v>
                </c:pt>
                <c:pt idx="1022">
                  <c:v>2111.4</c:v>
                </c:pt>
                <c:pt idx="1023">
                  <c:v>2130</c:v>
                </c:pt>
                <c:pt idx="1024">
                  <c:v>2163.6</c:v>
                </c:pt>
                <c:pt idx="1025">
                  <c:v>2144.35</c:v>
                </c:pt>
                <c:pt idx="1026">
                  <c:v>2127.5</c:v>
                </c:pt>
                <c:pt idx="1027">
                  <c:v>2013.55</c:v>
                </c:pt>
                <c:pt idx="1028">
                  <c:v>1954.25</c:v>
                </c:pt>
                <c:pt idx="1029">
                  <c:v>1962.5</c:v>
                </c:pt>
                <c:pt idx="1030">
                  <c:v>1946.2</c:v>
                </c:pt>
                <c:pt idx="1031">
                  <c:v>1941.25</c:v>
                </c:pt>
                <c:pt idx="1032">
                  <c:v>1936.15</c:v>
                </c:pt>
                <c:pt idx="1033">
                  <c:v>1968.05</c:v>
                </c:pt>
                <c:pt idx="1034">
                  <c:v>2040.3</c:v>
                </c:pt>
                <c:pt idx="1035">
                  <c:v>2045.6</c:v>
                </c:pt>
                <c:pt idx="1036">
                  <c:v>2041.4</c:v>
                </c:pt>
                <c:pt idx="1037">
                  <c:v>2031.2</c:v>
                </c:pt>
                <c:pt idx="1038">
                  <c:v>2078.1</c:v>
                </c:pt>
                <c:pt idx="1039">
                  <c:v>1961.7</c:v>
                </c:pt>
                <c:pt idx="1040">
                  <c:v>1936.45</c:v>
                </c:pt>
                <c:pt idx="1041">
                  <c:v>2060.9499999999998</c:v>
                </c:pt>
                <c:pt idx="1042">
                  <c:v>2105.0500000000002</c:v>
                </c:pt>
                <c:pt idx="1043">
                  <c:v>2102</c:v>
                </c:pt>
                <c:pt idx="1044">
                  <c:v>2102.4</c:v>
                </c:pt>
                <c:pt idx="1045">
                  <c:v>2142.25</c:v>
                </c:pt>
                <c:pt idx="1046">
                  <c:v>2139.6999999999998</c:v>
                </c:pt>
                <c:pt idx="1047">
                  <c:v>2128.85</c:v>
                </c:pt>
                <c:pt idx="1048">
                  <c:v>2100.8000000000002</c:v>
                </c:pt>
                <c:pt idx="1049">
                  <c:v>2198.5500000000002</c:v>
                </c:pt>
                <c:pt idx="1050">
                  <c:v>2204.4</c:v>
                </c:pt>
                <c:pt idx="1051">
                  <c:v>2220.9499999999998</c:v>
                </c:pt>
                <c:pt idx="1052">
                  <c:v>2197.6</c:v>
                </c:pt>
                <c:pt idx="1053">
                  <c:v>2216</c:v>
                </c:pt>
                <c:pt idx="1054">
                  <c:v>2255.9</c:v>
                </c:pt>
                <c:pt idx="1055">
                  <c:v>2149.1999999999998</c:v>
                </c:pt>
                <c:pt idx="1056">
                  <c:v>2141.9499999999998</c:v>
                </c:pt>
                <c:pt idx="1057">
                  <c:v>2113.4</c:v>
                </c:pt>
                <c:pt idx="1058">
                  <c:v>2140.25</c:v>
                </c:pt>
                <c:pt idx="1059">
                  <c:v>2151.3000000000002</c:v>
                </c:pt>
                <c:pt idx="1060">
                  <c:v>2137.0500000000002</c:v>
                </c:pt>
                <c:pt idx="1061">
                  <c:v>2111.9499999999998</c:v>
                </c:pt>
                <c:pt idx="1062">
                  <c:v>2166.75</c:v>
                </c:pt>
                <c:pt idx="1063">
                  <c:v>2176.35</c:v>
                </c:pt>
                <c:pt idx="1064">
                  <c:v>2109.6</c:v>
                </c:pt>
                <c:pt idx="1065">
                  <c:v>2091.6999999999998</c:v>
                </c:pt>
                <c:pt idx="1066">
                  <c:v>2048.5500000000002</c:v>
                </c:pt>
                <c:pt idx="1067">
                  <c:v>2114.6999999999998</c:v>
                </c:pt>
                <c:pt idx="1068">
                  <c:v>2137.35</c:v>
                </c:pt>
                <c:pt idx="1069">
                  <c:v>2183.1999999999998</c:v>
                </c:pt>
                <c:pt idx="1070">
                  <c:v>2208.75</c:v>
                </c:pt>
                <c:pt idx="1071">
                  <c:v>2262</c:v>
                </c:pt>
                <c:pt idx="1072">
                  <c:v>2289.9499999999998</c:v>
                </c:pt>
                <c:pt idx="1073">
                  <c:v>2386.5500000000002</c:v>
                </c:pt>
                <c:pt idx="1074">
                  <c:v>2458.1999999999998</c:v>
                </c:pt>
                <c:pt idx="1075">
                  <c:v>2513.1999999999998</c:v>
                </c:pt>
                <c:pt idx="1076">
                  <c:v>2492.35</c:v>
                </c:pt>
                <c:pt idx="1077">
                  <c:v>2548.1999999999998</c:v>
                </c:pt>
                <c:pt idx="1078">
                  <c:v>2453.9</c:v>
                </c:pt>
                <c:pt idx="1079">
                  <c:v>2512.6999999999998</c:v>
                </c:pt>
                <c:pt idx="1080">
                  <c:v>2521</c:v>
                </c:pt>
                <c:pt idx="1081">
                  <c:v>2482.6999999999998</c:v>
                </c:pt>
                <c:pt idx="1082">
                  <c:v>2452.6</c:v>
                </c:pt>
                <c:pt idx="1083">
                  <c:v>2493.4499999999998</c:v>
                </c:pt>
                <c:pt idx="1084">
                  <c:v>2461.35</c:v>
                </c:pt>
                <c:pt idx="1085">
                  <c:v>2488.1999999999998</c:v>
                </c:pt>
                <c:pt idx="1086">
                  <c:v>2489.85</c:v>
                </c:pt>
                <c:pt idx="1087">
                  <c:v>2509.9499999999998</c:v>
                </c:pt>
                <c:pt idx="1088">
                  <c:v>2458.35</c:v>
                </c:pt>
                <c:pt idx="1089">
                  <c:v>2540.0500000000002</c:v>
                </c:pt>
                <c:pt idx="1090">
                  <c:v>2549.1999999999998</c:v>
                </c:pt>
                <c:pt idx="1091">
                  <c:v>2517</c:v>
                </c:pt>
                <c:pt idx="1092">
                  <c:v>2520.85</c:v>
                </c:pt>
                <c:pt idx="1093">
                  <c:v>2536.15</c:v>
                </c:pt>
                <c:pt idx="1094">
                  <c:v>2523.15</c:v>
                </c:pt>
                <c:pt idx="1095">
                  <c:v>2538.8000000000002</c:v>
                </c:pt>
                <c:pt idx="1096">
                  <c:v>2535.9</c:v>
                </c:pt>
                <c:pt idx="1097">
                  <c:v>2523.9</c:v>
                </c:pt>
                <c:pt idx="1098">
                  <c:v>2618.5</c:v>
                </c:pt>
                <c:pt idx="1099">
                  <c:v>2690</c:v>
                </c:pt>
                <c:pt idx="1100">
                  <c:v>2712.75</c:v>
                </c:pt>
                <c:pt idx="1101">
                  <c:v>2707.25</c:v>
                </c:pt>
                <c:pt idx="1102">
                  <c:v>2703</c:v>
                </c:pt>
                <c:pt idx="1103">
                  <c:v>2587.3000000000002</c:v>
                </c:pt>
                <c:pt idx="1104">
                  <c:v>2556.9499999999998</c:v>
                </c:pt>
                <c:pt idx="1105">
                  <c:v>2539</c:v>
                </c:pt>
                <c:pt idx="1106">
                  <c:v>2493.6</c:v>
                </c:pt>
                <c:pt idx="1107">
                  <c:v>2467.8000000000002</c:v>
                </c:pt>
                <c:pt idx="1108">
                  <c:v>2433.65</c:v>
                </c:pt>
                <c:pt idx="1109">
                  <c:v>2371.25</c:v>
                </c:pt>
                <c:pt idx="1110">
                  <c:v>2389.6999999999998</c:v>
                </c:pt>
                <c:pt idx="1111">
                  <c:v>2441</c:v>
                </c:pt>
                <c:pt idx="1112">
                  <c:v>2574.25</c:v>
                </c:pt>
                <c:pt idx="1113">
                  <c:v>2592.65</c:v>
                </c:pt>
                <c:pt idx="1114">
                  <c:v>2546.5500000000002</c:v>
                </c:pt>
                <c:pt idx="1115">
                  <c:v>2468.4499999999998</c:v>
                </c:pt>
                <c:pt idx="1116">
                  <c:v>2406.6</c:v>
                </c:pt>
                <c:pt idx="1117">
                  <c:v>2495.6999999999998</c:v>
                </c:pt>
                <c:pt idx="1118">
                  <c:v>2450.1</c:v>
                </c:pt>
                <c:pt idx="1119">
                  <c:v>2454.35</c:v>
                </c:pt>
                <c:pt idx="1120">
                  <c:v>2488.9499999999998</c:v>
                </c:pt>
                <c:pt idx="1121">
                  <c:v>2493.1999999999998</c:v>
                </c:pt>
                <c:pt idx="1122">
                  <c:v>2488.0500000000002</c:v>
                </c:pt>
                <c:pt idx="1123">
                  <c:v>2495.9</c:v>
                </c:pt>
                <c:pt idx="1124">
                  <c:v>2398</c:v>
                </c:pt>
                <c:pt idx="1125">
                  <c:v>2442.25</c:v>
                </c:pt>
                <c:pt idx="1126">
                  <c:v>2491.85</c:v>
                </c:pt>
                <c:pt idx="1127">
                  <c:v>2484.8000000000002</c:v>
                </c:pt>
                <c:pt idx="1128">
                  <c:v>2443.65</c:v>
                </c:pt>
                <c:pt idx="1129">
                  <c:v>2409.1999999999998</c:v>
                </c:pt>
                <c:pt idx="1130">
                  <c:v>2471.15</c:v>
                </c:pt>
                <c:pt idx="1131">
                  <c:v>2474.9499999999998</c:v>
                </c:pt>
                <c:pt idx="1132">
                  <c:v>2464</c:v>
                </c:pt>
                <c:pt idx="1133">
                  <c:v>2431.8000000000002</c:v>
                </c:pt>
                <c:pt idx="1134">
                  <c:v>2360.3000000000002</c:v>
                </c:pt>
                <c:pt idx="1135">
                  <c:v>2315.6</c:v>
                </c:pt>
                <c:pt idx="1136">
                  <c:v>2310.0500000000002</c:v>
                </c:pt>
                <c:pt idx="1137">
                  <c:v>2376.5</c:v>
                </c:pt>
                <c:pt idx="1138">
                  <c:v>2403.0500000000002</c:v>
                </c:pt>
                <c:pt idx="1139">
                  <c:v>2528.15</c:v>
                </c:pt>
                <c:pt idx="1140">
                  <c:v>2564.3000000000002</c:v>
                </c:pt>
                <c:pt idx="1141">
                  <c:v>2588.9</c:v>
                </c:pt>
                <c:pt idx="1142">
                  <c:v>2600.6</c:v>
                </c:pt>
                <c:pt idx="1143">
                  <c:v>2597.5500000000002</c:v>
                </c:pt>
                <c:pt idx="1144">
                  <c:v>2592.75</c:v>
                </c:pt>
                <c:pt idx="1145">
                  <c:v>2619.25</c:v>
                </c:pt>
                <c:pt idx="1146">
                  <c:v>2612.9499999999998</c:v>
                </c:pt>
                <c:pt idx="1147">
                  <c:v>2653.35</c:v>
                </c:pt>
                <c:pt idx="1148">
                  <c:v>2657.5</c:v>
                </c:pt>
                <c:pt idx="1149">
                  <c:v>2572.6999999999998</c:v>
                </c:pt>
                <c:pt idx="1150">
                  <c:v>2595.9</c:v>
                </c:pt>
                <c:pt idx="1151">
                  <c:v>2576.15</c:v>
                </c:pt>
                <c:pt idx="1152">
                  <c:v>2583</c:v>
                </c:pt>
                <c:pt idx="1153">
                  <c:v>2523.85</c:v>
                </c:pt>
                <c:pt idx="1154">
                  <c:v>2522.4</c:v>
                </c:pt>
                <c:pt idx="1155">
                  <c:v>2437.3000000000002</c:v>
                </c:pt>
                <c:pt idx="1156">
                  <c:v>2402.15</c:v>
                </c:pt>
                <c:pt idx="1157">
                  <c:v>2379.85</c:v>
                </c:pt>
                <c:pt idx="1158">
                  <c:v>2331.3000000000002</c:v>
                </c:pt>
                <c:pt idx="1159">
                  <c:v>2319.4499999999998</c:v>
                </c:pt>
                <c:pt idx="1160">
                  <c:v>2329.9</c:v>
                </c:pt>
                <c:pt idx="1161">
                  <c:v>2299.75</c:v>
                </c:pt>
                <c:pt idx="1162">
                  <c:v>2287.65</c:v>
                </c:pt>
                <c:pt idx="1163">
                  <c:v>2239.35</c:v>
                </c:pt>
                <c:pt idx="1164">
                  <c:v>2280.4</c:v>
                </c:pt>
                <c:pt idx="1165">
                  <c:v>2357.25</c:v>
                </c:pt>
                <c:pt idx="1166">
                  <c:v>2323.15</c:v>
                </c:pt>
                <c:pt idx="1167">
                  <c:v>2354.85</c:v>
                </c:pt>
                <c:pt idx="1168">
                  <c:v>2350.5</c:v>
                </c:pt>
                <c:pt idx="1169">
                  <c:v>2339.35</c:v>
                </c:pt>
                <c:pt idx="1170">
                  <c:v>2373.15</c:v>
                </c:pt>
                <c:pt idx="1171">
                  <c:v>2405.5500000000002</c:v>
                </c:pt>
                <c:pt idx="1172">
                  <c:v>2380.5500000000002</c:v>
                </c:pt>
                <c:pt idx="1173">
                  <c:v>2325.3000000000002</c:v>
                </c:pt>
                <c:pt idx="1174">
                  <c:v>2369.25</c:v>
                </c:pt>
                <c:pt idx="1175">
                  <c:v>2386.5</c:v>
                </c:pt>
                <c:pt idx="1176">
                  <c:v>2360.1999999999998</c:v>
                </c:pt>
                <c:pt idx="1177">
                  <c:v>2375.5</c:v>
                </c:pt>
                <c:pt idx="1178">
                  <c:v>2324.1999999999998</c:v>
                </c:pt>
                <c:pt idx="1179">
                  <c:v>2292.3000000000002</c:v>
                </c:pt>
                <c:pt idx="1180">
                  <c:v>2397.8000000000002</c:v>
                </c:pt>
                <c:pt idx="1181">
                  <c:v>2375.85</c:v>
                </c:pt>
                <c:pt idx="1182">
                  <c:v>2387.6999999999998</c:v>
                </c:pt>
                <c:pt idx="1183">
                  <c:v>2391.3000000000002</c:v>
                </c:pt>
                <c:pt idx="1184">
                  <c:v>2478.1999999999998</c:v>
                </c:pt>
                <c:pt idx="1185">
                  <c:v>2499.35</c:v>
                </c:pt>
                <c:pt idx="1186">
                  <c:v>2531.75</c:v>
                </c:pt>
                <c:pt idx="1187">
                  <c:v>2539.4</c:v>
                </c:pt>
                <c:pt idx="1188">
                  <c:v>2539.5</c:v>
                </c:pt>
                <c:pt idx="1189">
                  <c:v>2528.1</c:v>
                </c:pt>
                <c:pt idx="1190">
                  <c:v>2484.6</c:v>
                </c:pt>
                <c:pt idx="1191">
                  <c:v>2512.1</c:v>
                </c:pt>
                <c:pt idx="1192">
                  <c:v>2536.75</c:v>
                </c:pt>
                <c:pt idx="1193">
                  <c:v>2431.75</c:v>
                </c:pt>
                <c:pt idx="1194">
                  <c:v>2417.9499999999998</c:v>
                </c:pt>
                <c:pt idx="1195">
                  <c:v>2453.9499999999998</c:v>
                </c:pt>
                <c:pt idx="1196">
                  <c:v>2406.3000000000002</c:v>
                </c:pt>
                <c:pt idx="1197">
                  <c:v>2383.5500000000002</c:v>
                </c:pt>
                <c:pt idx="1198">
                  <c:v>2375.15</c:v>
                </c:pt>
                <c:pt idx="1199">
                  <c:v>2460.1</c:v>
                </c:pt>
                <c:pt idx="1200">
                  <c:v>2454.75</c:v>
                </c:pt>
                <c:pt idx="1201">
                  <c:v>2379.15</c:v>
                </c:pt>
                <c:pt idx="1202">
                  <c:v>2412</c:v>
                </c:pt>
                <c:pt idx="1203">
                  <c:v>2395.6999999999998</c:v>
                </c:pt>
                <c:pt idx="1204">
                  <c:v>2411.4</c:v>
                </c:pt>
                <c:pt idx="1205">
                  <c:v>2484.9</c:v>
                </c:pt>
                <c:pt idx="1206">
                  <c:v>2588.8000000000002</c:v>
                </c:pt>
                <c:pt idx="1207">
                  <c:v>2564.0500000000002</c:v>
                </c:pt>
                <c:pt idx="1208">
                  <c:v>2537.1999999999998</c:v>
                </c:pt>
                <c:pt idx="1209">
                  <c:v>2492.6</c:v>
                </c:pt>
                <c:pt idx="1210">
                  <c:v>2362.4</c:v>
                </c:pt>
                <c:pt idx="1211">
                  <c:v>2358.1999999999998</c:v>
                </c:pt>
                <c:pt idx="1212">
                  <c:v>2375.35</c:v>
                </c:pt>
                <c:pt idx="1213">
                  <c:v>2147.65</c:v>
                </c:pt>
                <c:pt idx="1214">
                  <c:v>2192.65</c:v>
                </c:pt>
                <c:pt idx="1215">
                  <c:v>2155.3000000000002</c:v>
                </c:pt>
                <c:pt idx="1216">
                  <c:v>2163.75</c:v>
                </c:pt>
                <c:pt idx="1217">
                  <c:v>2161.85</c:v>
                </c:pt>
                <c:pt idx="1218">
                  <c:v>2147.5</c:v>
                </c:pt>
                <c:pt idx="1219">
                  <c:v>2129.3000000000002</c:v>
                </c:pt>
                <c:pt idx="1220">
                  <c:v>2090.25</c:v>
                </c:pt>
                <c:pt idx="1221">
                  <c:v>2092.9</c:v>
                </c:pt>
                <c:pt idx="1222">
                  <c:v>2105.0500000000002</c:v>
                </c:pt>
                <c:pt idx="1223">
                  <c:v>2081.0500000000002</c:v>
                </c:pt>
                <c:pt idx="1224">
                  <c:v>2085.85</c:v>
                </c:pt>
                <c:pt idx="1225">
                  <c:v>2077.35</c:v>
                </c:pt>
                <c:pt idx="1226">
                  <c:v>2095.6</c:v>
                </c:pt>
                <c:pt idx="1227">
                  <c:v>2108.6999999999998</c:v>
                </c:pt>
                <c:pt idx="1228">
                  <c:v>2119.85</c:v>
                </c:pt>
                <c:pt idx="1229">
                  <c:v>2055.6999999999998</c:v>
                </c:pt>
                <c:pt idx="1230">
                  <c:v>2030.65</c:v>
                </c:pt>
                <c:pt idx="1231">
                  <c:v>2034.3</c:v>
                </c:pt>
                <c:pt idx="1232">
                  <c:v>2055.9499999999998</c:v>
                </c:pt>
                <c:pt idx="1233">
                  <c:v>2033.9</c:v>
                </c:pt>
                <c:pt idx="1234">
                  <c:v>2020.65</c:v>
                </c:pt>
                <c:pt idx="1235">
                  <c:v>2019.3</c:v>
                </c:pt>
                <c:pt idx="1236">
                  <c:v>1967.1</c:v>
                </c:pt>
                <c:pt idx="1237">
                  <c:v>1939.4</c:v>
                </c:pt>
                <c:pt idx="1238">
                  <c:v>1921.6</c:v>
                </c:pt>
                <c:pt idx="1239">
                  <c:v>1878.45</c:v>
                </c:pt>
                <c:pt idx="1240">
                  <c:v>1822.55</c:v>
                </c:pt>
              </c:numCache>
            </c:numRef>
          </c:val>
          <c:smooth val="0"/>
          <c:extLst>
            <c:ext xmlns:c16="http://schemas.microsoft.com/office/drawing/2014/chart" uri="{C3380CC4-5D6E-409C-BE32-E72D297353CC}">
              <c16:uniqueId val="{00000000-A4C8-B441-B1FD-BB5083DAD8F8}"/>
            </c:ext>
          </c:extLst>
        </c:ser>
        <c:dLbls>
          <c:showLegendKey val="0"/>
          <c:showVal val="0"/>
          <c:showCatName val="0"/>
          <c:showSerName val="0"/>
          <c:showPercent val="0"/>
          <c:showBubbleSize val="0"/>
        </c:dLbls>
        <c:smooth val="0"/>
        <c:axId val="2019015999"/>
        <c:axId val="2018935231"/>
      </c:lineChart>
      <c:dateAx>
        <c:axId val="201901599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132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8935231"/>
        <c:crosses val="autoZero"/>
        <c:auto val="1"/>
        <c:lblOffset val="100"/>
        <c:baseTimeUnit val="days"/>
      </c:dateAx>
      <c:valAx>
        <c:axId val="2018935231"/>
        <c:scaling>
          <c:orientation val="minMax"/>
          <c:min val="1500"/>
        </c:scaling>
        <c:delete val="0"/>
        <c:axPos val="l"/>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01599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Teaser!$B$19</c:f>
              <c:strCache>
                <c:ptCount val="1"/>
                <c:pt idx="0">
                  <c:v>Revenue</c:v>
                </c:pt>
              </c:strCache>
            </c:strRef>
          </c:tx>
          <c:spPr>
            <a:solidFill>
              <a:srgbClr val="002060"/>
            </a:solidFill>
            <a:ln>
              <a:solidFill>
                <a:srgbClr val="002060"/>
              </a:solidFill>
            </a:ln>
            <a:effectLst/>
          </c:spPr>
          <c:invertIfNegative val="0"/>
          <c:cat>
            <c:numRef>
              <c:f>Teaser!$C$18:$G$18</c:f>
              <c:numCache>
                <c:formatCode>mmm\-yy</c:formatCode>
                <c:ptCount val="5"/>
                <c:pt idx="0">
                  <c:v>44651</c:v>
                </c:pt>
                <c:pt idx="1">
                  <c:v>45016</c:v>
                </c:pt>
                <c:pt idx="2">
                  <c:v>45382</c:v>
                </c:pt>
                <c:pt idx="3">
                  <c:v>45747</c:v>
                </c:pt>
                <c:pt idx="4">
                  <c:v>46112</c:v>
                </c:pt>
              </c:numCache>
            </c:numRef>
          </c:cat>
          <c:val>
            <c:numRef>
              <c:f>Teaser!$C$19:$G$19</c:f>
              <c:numCache>
                <c:formatCode>_(* #,##0.00_);_(* \(#,##0.00\);_(* "-"??_);_(@_)</c:formatCode>
                <c:ptCount val="5"/>
                <c:pt idx="0">
                  <c:v>28799</c:v>
                </c:pt>
                <c:pt idx="1">
                  <c:v>40575</c:v>
                </c:pt>
                <c:pt idx="2">
                  <c:v>51084</c:v>
                </c:pt>
                <c:pt idx="3">
                  <c:v>60456</c:v>
                </c:pt>
                <c:pt idx="4">
                  <c:v>87584</c:v>
                </c:pt>
              </c:numCache>
            </c:numRef>
          </c:val>
          <c:extLst>
            <c:ext xmlns:c16="http://schemas.microsoft.com/office/drawing/2014/chart" uri="{C3380CC4-5D6E-409C-BE32-E72D297353CC}">
              <c16:uniqueId val="{00000000-0F4C-1346-8164-4A0B1D6091D0}"/>
            </c:ext>
          </c:extLst>
        </c:ser>
        <c:dLbls>
          <c:showLegendKey val="0"/>
          <c:showVal val="0"/>
          <c:showCatName val="0"/>
          <c:showSerName val="0"/>
          <c:showPercent val="0"/>
          <c:showBubbleSize val="0"/>
        </c:dLbls>
        <c:gapWidth val="150"/>
        <c:axId val="2100282239"/>
        <c:axId val="1895946815"/>
      </c:barChart>
      <c:lineChart>
        <c:grouping val="standard"/>
        <c:varyColors val="0"/>
        <c:ser>
          <c:idx val="1"/>
          <c:order val="1"/>
          <c:tx>
            <c:strRef>
              <c:f>Teaser!$B$22</c:f>
              <c:strCache>
                <c:ptCount val="1"/>
                <c:pt idx="0">
                  <c:v>EBITDA Margin</c:v>
                </c:pt>
              </c:strCache>
            </c:strRef>
          </c:tx>
          <c:spPr>
            <a:ln w="28575" cap="rnd">
              <a:solidFill>
                <a:srgbClr val="06B0AB"/>
              </a:solidFill>
              <a:round/>
            </a:ln>
            <a:effectLst/>
          </c:spPr>
          <c:marker>
            <c:symbol val="none"/>
          </c:marker>
          <c:val>
            <c:numRef>
              <c:f>Teaser!$C$22:$G$22</c:f>
              <c:numCache>
                <c:formatCode>0.00%</c:formatCode>
                <c:ptCount val="5"/>
                <c:pt idx="0">
                  <c:v>0.11611514288690579</c:v>
                </c:pt>
                <c:pt idx="1">
                  <c:v>0.12032039433148491</c:v>
                </c:pt>
                <c:pt idx="2">
                  <c:v>0.10359408033826638</c:v>
                </c:pt>
                <c:pt idx="3">
                  <c:v>9.4184200079396582E-2</c:v>
                </c:pt>
                <c:pt idx="4">
                  <c:v>9.5416971136280601E-2</c:v>
                </c:pt>
              </c:numCache>
            </c:numRef>
          </c:val>
          <c:smooth val="0"/>
          <c:extLst>
            <c:ext xmlns:c16="http://schemas.microsoft.com/office/drawing/2014/chart" uri="{C3380CC4-5D6E-409C-BE32-E72D297353CC}">
              <c16:uniqueId val="{00000001-0F4C-1346-8164-4A0B1D6091D0}"/>
            </c:ext>
          </c:extLst>
        </c:ser>
        <c:dLbls>
          <c:showLegendKey val="0"/>
          <c:showVal val="0"/>
          <c:showCatName val="0"/>
          <c:showSerName val="0"/>
          <c:showPercent val="0"/>
          <c:showBubbleSize val="0"/>
        </c:dLbls>
        <c:marker val="1"/>
        <c:smooth val="0"/>
        <c:axId val="1895936703"/>
        <c:axId val="1895988095"/>
      </c:lineChart>
      <c:dateAx>
        <c:axId val="2100282239"/>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5946815"/>
        <c:crosses val="autoZero"/>
        <c:auto val="1"/>
        <c:lblOffset val="100"/>
        <c:baseTimeUnit val="years"/>
      </c:dateAx>
      <c:valAx>
        <c:axId val="1895946815"/>
        <c:scaling>
          <c:orientation val="minMax"/>
        </c:scaling>
        <c:delete val="0"/>
        <c:axPos val="l"/>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282239"/>
        <c:crosses val="autoZero"/>
        <c:crossBetween val="between"/>
        <c:majorUnit val="20000"/>
      </c:valAx>
      <c:valAx>
        <c:axId val="1895988095"/>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5936703"/>
        <c:crosses val="max"/>
        <c:crossBetween val="between"/>
        <c:majorUnit val="4.0000000000000008E-2"/>
      </c:valAx>
      <c:catAx>
        <c:axId val="1895936703"/>
        <c:scaling>
          <c:orientation val="minMax"/>
        </c:scaling>
        <c:delete val="1"/>
        <c:axPos val="b"/>
        <c:majorTickMark val="none"/>
        <c:minorTickMark val="none"/>
        <c:tickLblPos val="nextTo"/>
        <c:crossAx val="189598809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0" i="0" u="none" strike="noStrike" kern="1200" spc="0" baseline="0">
                <a:solidFill>
                  <a:schemeClr val="tx1">
                    <a:lumMod val="65000"/>
                    <a:lumOff val="35000"/>
                  </a:schemeClr>
                </a:solidFill>
                <a:latin typeface="+mn-lt"/>
                <a:ea typeface="+mn-ea"/>
                <a:cs typeface="+mn-cs"/>
              </a:defRPr>
            </a:pPr>
            <a:r>
              <a:rPr lang="en-GB" sz="800">
                <a:solidFill>
                  <a:srgbClr val="002060"/>
                </a:solidFill>
              </a:rPr>
              <a:t>Revenue (INR Cr)</a:t>
            </a:r>
          </a:p>
        </c:rich>
      </c:tx>
      <c:overlay val="1"/>
      <c:spPr>
        <a:noFill/>
        <a:ln>
          <a:noFill/>
        </a:ln>
        <a:effectLst/>
      </c:spPr>
      <c:txPr>
        <a:bodyPr rot="0" spcFirstLastPara="1" vertOverflow="ellipsis" vert="horz" wrap="square" anchor="ctr" anchorCtr="1"/>
        <a:lstStyle/>
        <a:p>
          <a:pPr>
            <a:defRPr sz="8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002060"/>
            </a:solidFill>
            <a:ln>
              <a:solidFill>
                <a:srgbClr val="002060"/>
              </a:solid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Analysis'!$D$4:$H$4</c:f>
              <c:numCache>
                <c:formatCode>mmm\-yy</c:formatCode>
                <c:ptCount val="5"/>
                <c:pt idx="0">
                  <c:v>44651</c:v>
                </c:pt>
                <c:pt idx="1">
                  <c:v>45016</c:v>
                </c:pt>
                <c:pt idx="2">
                  <c:v>45382</c:v>
                </c:pt>
                <c:pt idx="3">
                  <c:v>45747</c:v>
                </c:pt>
                <c:pt idx="4">
                  <c:v>46112</c:v>
                </c:pt>
              </c:numCache>
            </c:numRef>
          </c:cat>
          <c:val>
            <c:numRef>
              <c:f>'Dupont Analysis'!$D$33:$H$33</c:f>
              <c:numCache>
                <c:formatCode>_(* #,##0.00_);_(* \(#,##0.00\);_(* "-"??_);_(@_)</c:formatCode>
                <c:ptCount val="5"/>
                <c:pt idx="0">
                  <c:v>28799</c:v>
                </c:pt>
                <c:pt idx="1">
                  <c:v>40575</c:v>
                </c:pt>
                <c:pt idx="2">
                  <c:v>51084</c:v>
                </c:pt>
                <c:pt idx="3">
                  <c:v>60456</c:v>
                </c:pt>
                <c:pt idx="4">
                  <c:v>87584</c:v>
                </c:pt>
              </c:numCache>
            </c:numRef>
          </c:val>
          <c:extLst>
            <c:ext xmlns:c16="http://schemas.microsoft.com/office/drawing/2014/chart" uri="{C3380CC4-5D6E-409C-BE32-E72D297353CC}">
              <c16:uniqueId val="{00000000-9D5C-0A4A-AB30-82EBC9CA1089}"/>
            </c:ext>
          </c:extLst>
        </c:ser>
        <c:dLbls>
          <c:showLegendKey val="0"/>
          <c:showVal val="0"/>
          <c:showCatName val="0"/>
          <c:showSerName val="0"/>
          <c:showPercent val="0"/>
          <c:showBubbleSize val="0"/>
        </c:dLbls>
        <c:gapWidth val="150"/>
        <c:axId val="794906560"/>
        <c:axId val="794908352"/>
      </c:barChart>
      <c:dateAx>
        <c:axId val="794906560"/>
        <c:scaling>
          <c:orientation val="minMax"/>
        </c:scaling>
        <c:delete val="0"/>
        <c:axPos val="b"/>
        <c:numFmt formatCode="yyyy" sourceLinked="0"/>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794908352"/>
        <c:crosses val="autoZero"/>
        <c:auto val="1"/>
        <c:lblOffset val="100"/>
        <c:baseTimeUnit val="years"/>
      </c:dateAx>
      <c:valAx>
        <c:axId val="794908352"/>
        <c:scaling>
          <c:orientation val="minMax"/>
        </c:scaling>
        <c:delete val="1"/>
        <c:axPos val="l"/>
        <c:numFmt formatCode="_(* #,##0.00_);_(* \(#,##0.00\);_(* &quot;-&quot;??_);_(@_)" sourceLinked="1"/>
        <c:majorTickMark val="none"/>
        <c:minorTickMark val="none"/>
        <c:tickLblPos val="nextTo"/>
        <c:crossAx val="794906560"/>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0" i="0" u="none" strike="noStrike" kern="1200" spc="0" baseline="0">
                <a:solidFill>
                  <a:srgbClr val="002060"/>
                </a:solidFill>
                <a:latin typeface="+mn-lt"/>
                <a:ea typeface="+mn-ea"/>
                <a:cs typeface="+mn-cs"/>
              </a:defRPr>
            </a:pPr>
            <a:r>
              <a:rPr lang="en-GB" sz="800">
                <a:solidFill>
                  <a:srgbClr val="002060"/>
                </a:solidFill>
              </a:rPr>
              <a:t> Average Total Assets (INR Cr)</a:t>
            </a:r>
          </a:p>
        </c:rich>
      </c:tx>
      <c:overlay val="1"/>
      <c:spPr>
        <a:noFill/>
        <a:ln>
          <a:noFill/>
        </a:ln>
        <a:effectLst/>
      </c:spPr>
      <c:txPr>
        <a:bodyPr rot="0" spcFirstLastPara="1" vertOverflow="ellipsis" vert="horz" wrap="square" anchor="ctr" anchorCtr="1"/>
        <a:lstStyle/>
        <a:p>
          <a:pPr>
            <a:defRPr sz="800" b="0" i="0" u="none" strike="noStrike" kern="1200" spc="0" baseline="0">
              <a:solidFill>
                <a:srgbClr val="002060"/>
              </a:solidFill>
              <a:latin typeface="+mn-lt"/>
              <a:ea typeface="+mn-ea"/>
              <a:cs typeface="+mn-cs"/>
            </a:defRPr>
          </a:pPr>
          <a:endParaRPr lang="en-US"/>
        </a:p>
      </c:txPr>
    </c:title>
    <c:autoTitleDeleted val="0"/>
    <c:plotArea>
      <c:layout/>
      <c:barChart>
        <c:barDir val="col"/>
        <c:grouping val="clustered"/>
        <c:varyColors val="0"/>
        <c:ser>
          <c:idx val="0"/>
          <c:order val="0"/>
          <c:spPr>
            <a:solidFill>
              <a:srgbClr val="002060"/>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Analysis'!$D$4:$H$4</c:f>
              <c:numCache>
                <c:formatCode>mmm\-yy</c:formatCode>
                <c:ptCount val="5"/>
                <c:pt idx="0">
                  <c:v>44651</c:v>
                </c:pt>
                <c:pt idx="1">
                  <c:v>45016</c:v>
                </c:pt>
                <c:pt idx="2">
                  <c:v>45382</c:v>
                </c:pt>
                <c:pt idx="3">
                  <c:v>45747</c:v>
                </c:pt>
                <c:pt idx="4">
                  <c:v>46112</c:v>
                </c:pt>
              </c:numCache>
            </c:numRef>
          </c:cat>
          <c:val>
            <c:numRef>
              <c:f>'Dupont Analysis'!$D$40:$H$40</c:f>
              <c:numCache>
                <c:formatCode>_(* #,##0.00_);_(* \(#,##0.00\);_(* "-"??_);_(@_)</c:formatCode>
                <c:ptCount val="5"/>
                <c:pt idx="0">
                  <c:v>18816</c:v>
                </c:pt>
                <c:pt idx="1">
                  <c:v>24104</c:v>
                </c:pt>
                <c:pt idx="2">
                  <c:v>29283.5</c:v>
                </c:pt>
                <c:pt idx="3">
                  <c:v>36096</c:v>
                </c:pt>
                <c:pt idx="4">
                  <c:v>50603</c:v>
                </c:pt>
              </c:numCache>
            </c:numRef>
          </c:val>
          <c:extLst>
            <c:ext xmlns:c16="http://schemas.microsoft.com/office/drawing/2014/chart" uri="{C3380CC4-5D6E-409C-BE32-E72D297353CC}">
              <c16:uniqueId val="{00000000-CF47-1344-8186-790E29216FFD}"/>
            </c:ext>
          </c:extLst>
        </c:ser>
        <c:dLbls>
          <c:showLegendKey val="0"/>
          <c:showVal val="0"/>
          <c:showCatName val="0"/>
          <c:showSerName val="0"/>
          <c:showPercent val="0"/>
          <c:showBubbleSize val="0"/>
        </c:dLbls>
        <c:gapWidth val="219"/>
        <c:overlap val="-27"/>
        <c:axId val="821688320"/>
        <c:axId val="821686976"/>
      </c:barChart>
      <c:dateAx>
        <c:axId val="821688320"/>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821686976"/>
        <c:crosses val="autoZero"/>
        <c:auto val="1"/>
        <c:lblOffset val="100"/>
        <c:baseTimeUnit val="years"/>
      </c:dateAx>
      <c:valAx>
        <c:axId val="821686976"/>
        <c:scaling>
          <c:orientation val="minMax"/>
        </c:scaling>
        <c:delete val="1"/>
        <c:axPos val="l"/>
        <c:numFmt formatCode="_(* #,##0.00_);_(* \(#,##0.00\);_(* &quot;-&quot;??_);_(@_)" sourceLinked="1"/>
        <c:majorTickMark val="none"/>
        <c:minorTickMark val="none"/>
        <c:tickLblPos val="nextTo"/>
        <c:crossAx val="821688320"/>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0" i="0" u="none" strike="noStrike" kern="1200" spc="0" baseline="0">
                <a:solidFill>
                  <a:srgbClr val="002060"/>
                </a:solidFill>
                <a:latin typeface="+mn-lt"/>
                <a:ea typeface="+mn-ea"/>
                <a:cs typeface="+mn-cs"/>
              </a:defRPr>
            </a:pPr>
            <a:r>
              <a:rPr lang="en-GB" sz="800">
                <a:solidFill>
                  <a:srgbClr val="002060"/>
                </a:solidFill>
              </a:rPr>
              <a:t>ROE</a:t>
            </a:r>
          </a:p>
        </c:rich>
      </c:tx>
      <c:overlay val="0"/>
      <c:spPr>
        <a:noFill/>
        <a:ln>
          <a:noFill/>
        </a:ln>
        <a:effectLst/>
      </c:spPr>
      <c:txPr>
        <a:bodyPr rot="0" spcFirstLastPara="1" vertOverflow="ellipsis" vert="horz" wrap="square" anchor="ctr" anchorCtr="1"/>
        <a:lstStyle/>
        <a:p>
          <a:pPr>
            <a:defRPr sz="800" b="0" i="0" u="none" strike="noStrike" kern="1200" spc="0" baseline="0">
              <a:solidFill>
                <a:srgbClr val="002060"/>
              </a:solidFill>
              <a:latin typeface="+mn-lt"/>
              <a:ea typeface="+mn-ea"/>
              <a:cs typeface="+mn-cs"/>
            </a:defRPr>
          </a:pPr>
          <a:endParaRPr lang="en-US"/>
        </a:p>
      </c:txPr>
    </c:title>
    <c:autoTitleDeleted val="0"/>
    <c:plotArea>
      <c:layout/>
      <c:lineChart>
        <c:grouping val="standard"/>
        <c:varyColors val="0"/>
        <c:ser>
          <c:idx val="0"/>
          <c:order val="0"/>
          <c:spPr>
            <a:ln w="28575" cap="rnd">
              <a:solidFill>
                <a:srgbClr val="002060"/>
              </a:solidFill>
              <a:round/>
            </a:ln>
            <a:effectLst/>
          </c:spPr>
          <c:marker>
            <c:symbol val="none"/>
          </c:marker>
          <c:dLbls>
            <c:dLbl>
              <c:idx val="1"/>
              <c:layout>
                <c:manualLayout>
                  <c:x val="0"/>
                  <c:y val="2.53041310820405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7C4-6C4B-994B-2E83992B4987}"/>
                </c:ext>
              </c:extLst>
            </c:dLbl>
            <c:dLbl>
              <c:idx val="2"/>
              <c:layout>
                <c:manualLayout>
                  <c:x val="0"/>
                  <c:y val="-2.530413108204054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7C4-6C4B-994B-2E83992B4987}"/>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Analysis'!$D$4:$H$4</c:f>
              <c:numCache>
                <c:formatCode>mmm\-yy</c:formatCode>
                <c:ptCount val="5"/>
                <c:pt idx="0">
                  <c:v>44651</c:v>
                </c:pt>
                <c:pt idx="1">
                  <c:v>45016</c:v>
                </c:pt>
                <c:pt idx="2">
                  <c:v>45382</c:v>
                </c:pt>
                <c:pt idx="3">
                  <c:v>45747</c:v>
                </c:pt>
                <c:pt idx="4">
                  <c:v>46112</c:v>
                </c:pt>
              </c:numCache>
            </c:numRef>
          </c:cat>
          <c:val>
            <c:numRef>
              <c:f>'Dupont Analysis'!$D$29:$H$29</c:f>
              <c:numCache>
                <c:formatCode>0.00%</c:formatCode>
                <c:ptCount val="5"/>
                <c:pt idx="0">
                  <c:v>0.26166666666666666</c:v>
                </c:pt>
                <c:pt idx="1">
                  <c:v>0.30953956698496737</c:v>
                </c:pt>
                <c:pt idx="2">
                  <c:v>0.32912822443984185</c:v>
                </c:pt>
                <c:pt idx="3">
                  <c:v>0.31755245753437694</c:v>
                </c:pt>
                <c:pt idx="4">
                  <c:v>0.37128115051048416</c:v>
                </c:pt>
              </c:numCache>
            </c:numRef>
          </c:val>
          <c:smooth val="0"/>
          <c:extLst>
            <c:ext xmlns:c16="http://schemas.microsoft.com/office/drawing/2014/chart" uri="{C3380CC4-5D6E-409C-BE32-E72D297353CC}">
              <c16:uniqueId val="{00000000-453E-6242-A2FC-FBB6BDFEC797}"/>
            </c:ext>
          </c:extLst>
        </c:ser>
        <c:dLbls>
          <c:showLegendKey val="0"/>
          <c:showVal val="0"/>
          <c:showCatName val="0"/>
          <c:showSerName val="0"/>
          <c:showPercent val="0"/>
          <c:showBubbleSize val="0"/>
        </c:dLbls>
        <c:smooth val="0"/>
        <c:axId val="830313280"/>
        <c:axId val="830309696"/>
      </c:lineChart>
      <c:dateAx>
        <c:axId val="830313280"/>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830309696"/>
        <c:crosses val="autoZero"/>
        <c:auto val="1"/>
        <c:lblOffset val="100"/>
        <c:baseTimeUnit val="years"/>
      </c:dateAx>
      <c:valAx>
        <c:axId val="830309696"/>
        <c:scaling>
          <c:orientation val="minMax"/>
          <c:min val="0.1"/>
        </c:scaling>
        <c:delete val="1"/>
        <c:axPos val="l"/>
        <c:numFmt formatCode="0.00%" sourceLinked="1"/>
        <c:majorTickMark val="out"/>
        <c:minorTickMark val="none"/>
        <c:tickLblPos val="nextTo"/>
        <c:crossAx val="830313280"/>
        <c:crosses val="autoZero"/>
        <c:crossBetween val="between"/>
        <c:majorUnit val="0.1"/>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0" i="0" u="none" strike="noStrike" kern="1200" spc="0" baseline="0">
                <a:solidFill>
                  <a:srgbClr val="002060"/>
                </a:solidFill>
                <a:latin typeface="+mn-lt"/>
                <a:ea typeface="+mn-ea"/>
                <a:cs typeface="+mn-cs"/>
              </a:defRPr>
            </a:pPr>
            <a:r>
              <a:rPr lang="en-GB" sz="800">
                <a:solidFill>
                  <a:srgbClr val="002060"/>
                </a:solidFill>
              </a:rPr>
              <a:t>ROA</a:t>
            </a:r>
          </a:p>
        </c:rich>
      </c:tx>
      <c:overlay val="0"/>
      <c:spPr>
        <a:noFill/>
        <a:ln>
          <a:noFill/>
        </a:ln>
        <a:effectLst/>
      </c:spPr>
      <c:txPr>
        <a:bodyPr rot="0" spcFirstLastPara="1" vertOverflow="ellipsis" vert="horz" wrap="square" anchor="ctr" anchorCtr="1"/>
        <a:lstStyle/>
        <a:p>
          <a:pPr>
            <a:defRPr sz="800" b="0" i="0" u="none" strike="noStrike" kern="1200" spc="0" baseline="0">
              <a:solidFill>
                <a:srgbClr val="002060"/>
              </a:solidFill>
              <a:latin typeface="+mn-lt"/>
              <a:ea typeface="+mn-ea"/>
              <a:cs typeface="+mn-cs"/>
            </a:defRPr>
          </a:pPr>
          <a:endParaRPr lang="en-US"/>
        </a:p>
      </c:txPr>
    </c:title>
    <c:autoTitleDeleted val="0"/>
    <c:plotArea>
      <c:layout/>
      <c:lineChart>
        <c:grouping val="standard"/>
        <c:varyColors val="0"/>
        <c:ser>
          <c:idx val="0"/>
          <c:order val="0"/>
          <c:spPr>
            <a:ln w="28575" cap="rnd">
              <a:solidFill>
                <a:srgbClr val="002060"/>
              </a:solidFill>
              <a:round/>
            </a:ln>
            <a:effectLst/>
          </c:spPr>
          <c:marker>
            <c:symbol val="none"/>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Analysis'!$D$4:$H$4</c:f>
              <c:numCache>
                <c:formatCode>mmm\-yy</c:formatCode>
                <c:ptCount val="5"/>
                <c:pt idx="0">
                  <c:v>44651</c:v>
                </c:pt>
                <c:pt idx="1">
                  <c:v>45016</c:v>
                </c:pt>
                <c:pt idx="2">
                  <c:v>45382</c:v>
                </c:pt>
                <c:pt idx="3">
                  <c:v>45747</c:v>
                </c:pt>
                <c:pt idx="4">
                  <c:v>46112</c:v>
                </c:pt>
              </c:numCache>
            </c:numRef>
          </c:cat>
          <c:val>
            <c:numRef>
              <c:f>'Dupont Analysis'!$D$50:$H$50</c:f>
              <c:numCache>
                <c:formatCode>0.00%</c:formatCode>
                <c:ptCount val="5"/>
                <c:pt idx="0">
                  <c:v>0.11681547619047619</c:v>
                </c:pt>
                <c:pt idx="1">
                  <c:v>0.13582807832724858</c:v>
                </c:pt>
                <c:pt idx="2">
                  <c:v>0.11938463639933751</c:v>
                </c:pt>
                <c:pt idx="3">
                  <c:v>9.2447916666666671E-2</c:v>
                </c:pt>
                <c:pt idx="4">
                  <c:v>0.1002509732624548</c:v>
                </c:pt>
              </c:numCache>
            </c:numRef>
          </c:val>
          <c:smooth val="0"/>
          <c:extLst>
            <c:ext xmlns:c16="http://schemas.microsoft.com/office/drawing/2014/chart" uri="{C3380CC4-5D6E-409C-BE32-E72D297353CC}">
              <c16:uniqueId val="{00000000-D179-9F43-8FA2-F20C581D0683}"/>
            </c:ext>
          </c:extLst>
        </c:ser>
        <c:dLbls>
          <c:showLegendKey val="0"/>
          <c:showVal val="0"/>
          <c:showCatName val="0"/>
          <c:showSerName val="0"/>
          <c:showPercent val="0"/>
          <c:showBubbleSize val="0"/>
        </c:dLbls>
        <c:smooth val="0"/>
        <c:axId val="838288704"/>
        <c:axId val="838298560"/>
      </c:lineChart>
      <c:dateAx>
        <c:axId val="838288704"/>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838298560"/>
        <c:crosses val="autoZero"/>
        <c:auto val="1"/>
        <c:lblOffset val="100"/>
        <c:baseTimeUnit val="years"/>
      </c:dateAx>
      <c:valAx>
        <c:axId val="838298560"/>
        <c:scaling>
          <c:orientation val="minMax"/>
          <c:min val="8.500000000000002E-2"/>
        </c:scaling>
        <c:delete val="1"/>
        <c:axPos val="l"/>
        <c:numFmt formatCode="0.00%" sourceLinked="1"/>
        <c:majorTickMark val="out"/>
        <c:minorTickMark val="none"/>
        <c:tickLblPos val="nextTo"/>
        <c:crossAx val="838288704"/>
        <c:crosses val="autoZero"/>
        <c:crossBetween val="between"/>
        <c:majorUnit val="1.0000000000000002E-2"/>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 b="0" i="0" u="none" strike="noStrike" kern="1200" spc="0" baseline="0">
                <a:solidFill>
                  <a:srgbClr val="002060"/>
                </a:solidFill>
                <a:latin typeface="+mn-lt"/>
                <a:ea typeface="+mn-ea"/>
                <a:cs typeface="+mn-cs"/>
              </a:defRPr>
            </a:pPr>
            <a:r>
              <a:rPr lang="en-GB" sz="800">
                <a:solidFill>
                  <a:srgbClr val="002060"/>
                </a:solidFill>
              </a:rPr>
              <a:t>Net Profit Margin (%)</a:t>
            </a:r>
          </a:p>
        </c:rich>
      </c:tx>
      <c:overlay val="0"/>
      <c:spPr>
        <a:noFill/>
        <a:ln>
          <a:noFill/>
        </a:ln>
        <a:effectLst/>
      </c:spPr>
      <c:txPr>
        <a:bodyPr rot="0" spcFirstLastPara="1" vertOverflow="ellipsis" vert="horz" wrap="square" anchor="ctr" anchorCtr="1"/>
        <a:lstStyle/>
        <a:p>
          <a:pPr>
            <a:defRPr sz="800" b="0" i="0" u="none" strike="noStrike" kern="1200" spc="0" baseline="0">
              <a:solidFill>
                <a:srgbClr val="002060"/>
              </a:solidFill>
              <a:latin typeface="+mn-lt"/>
              <a:ea typeface="+mn-ea"/>
              <a:cs typeface="+mn-cs"/>
            </a:defRPr>
          </a:pPr>
          <a:endParaRPr lang="en-US"/>
        </a:p>
      </c:txPr>
    </c:title>
    <c:autoTitleDeleted val="0"/>
    <c:plotArea>
      <c:layout/>
      <c:barChart>
        <c:barDir val="col"/>
        <c:grouping val="clustered"/>
        <c:varyColors val="0"/>
        <c:ser>
          <c:idx val="0"/>
          <c:order val="0"/>
          <c:spPr>
            <a:solidFill>
              <a:srgbClr val="00206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Analysis'!$D$4:$H$4</c:f>
              <c:numCache>
                <c:formatCode>mmm\-yy</c:formatCode>
                <c:ptCount val="5"/>
                <c:pt idx="0">
                  <c:v>44651</c:v>
                </c:pt>
                <c:pt idx="1">
                  <c:v>45016</c:v>
                </c:pt>
                <c:pt idx="2">
                  <c:v>45382</c:v>
                </c:pt>
                <c:pt idx="3">
                  <c:v>45747</c:v>
                </c:pt>
                <c:pt idx="4">
                  <c:v>46112</c:v>
                </c:pt>
              </c:numCache>
            </c:numRef>
          </c:cat>
          <c:val>
            <c:numRef>
              <c:f>'Dupont Analysis'!$D$34:$H$34</c:f>
              <c:numCache>
                <c:formatCode>0.00%</c:formatCode>
                <c:ptCount val="5"/>
                <c:pt idx="0">
                  <c:v>7.632209451717073E-2</c:v>
                </c:pt>
                <c:pt idx="1">
                  <c:v>8.0690080098582875E-2</c:v>
                </c:pt>
                <c:pt idx="2">
                  <c:v>6.8436300994440535E-2</c:v>
                </c:pt>
                <c:pt idx="3">
                  <c:v>5.5197168188434564E-2</c:v>
                </c:pt>
                <c:pt idx="4">
                  <c:v>5.792153818048959E-2</c:v>
                </c:pt>
              </c:numCache>
            </c:numRef>
          </c:val>
          <c:extLst>
            <c:ext xmlns:c16="http://schemas.microsoft.com/office/drawing/2014/chart" uri="{C3380CC4-5D6E-409C-BE32-E72D297353CC}">
              <c16:uniqueId val="{00000000-4DB4-9943-BAA8-DD80BA60CDDE}"/>
            </c:ext>
          </c:extLst>
        </c:ser>
        <c:dLbls>
          <c:showLegendKey val="0"/>
          <c:showVal val="0"/>
          <c:showCatName val="0"/>
          <c:showSerName val="0"/>
          <c:showPercent val="0"/>
          <c:showBubbleSize val="0"/>
        </c:dLbls>
        <c:gapWidth val="219"/>
        <c:overlap val="-27"/>
        <c:axId val="853995776"/>
        <c:axId val="853990848"/>
      </c:barChart>
      <c:dateAx>
        <c:axId val="853995776"/>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853990848"/>
        <c:crosses val="autoZero"/>
        <c:auto val="1"/>
        <c:lblOffset val="100"/>
        <c:baseTimeUnit val="years"/>
      </c:dateAx>
      <c:valAx>
        <c:axId val="853990848"/>
        <c:scaling>
          <c:orientation val="minMax"/>
          <c:min val="3.0000000000000006E-2"/>
        </c:scaling>
        <c:delete val="1"/>
        <c:axPos val="l"/>
        <c:numFmt formatCode="0.00%" sourceLinked="1"/>
        <c:majorTickMark val="none"/>
        <c:minorTickMark val="none"/>
        <c:tickLblPos val="nextTo"/>
        <c:crossAx val="853995776"/>
        <c:crosses val="autoZero"/>
        <c:crossBetween val="between"/>
        <c:majorUnit val="1.0000000000000002E-2"/>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800">
                <a:solidFill>
                  <a:srgbClr val="002060"/>
                </a:solidFill>
              </a:rPr>
              <a:t>Financial Leverage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rgbClr val="002060"/>
              </a:solidFill>
              <a:round/>
            </a:ln>
            <a:effectLst/>
          </c:spPr>
          <c:marker>
            <c:symbol val="none"/>
          </c:marker>
          <c:dLbls>
            <c:dLbl>
              <c:idx val="0"/>
              <c:layout>
                <c:manualLayout>
                  <c:x val="0"/>
                  <c:y val="2.99282487909398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2E2-6943-B005-8DA3E00B5B70}"/>
                </c:ext>
              </c:extLst>
            </c:dLbl>
            <c:dLbl>
              <c:idx val="2"/>
              <c:layout>
                <c:manualLayout>
                  <c:x val="6.4470609965620102E-17"/>
                  <c:y val="2.99282487909399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2E2-6943-B005-8DA3E00B5B70}"/>
                </c:ext>
              </c:extLst>
            </c:dLbl>
            <c:dLbl>
              <c:idx val="3"/>
              <c:layout>
                <c:manualLayout>
                  <c:x val="0"/>
                  <c:y val="1.49641243954699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2E2-6943-B005-8DA3E00B5B70}"/>
                </c:ext>
              </c:extLst>
            </c:dLbl>
            <c:dLbl>
              <c:idx val="4"/>
              <c:layout>
                <c:manualLayout>
                  <c:x val="-1.7583096746074885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2E2-6943-B005-8DA3E00B5B70}"/>
                </c:ext>
              </c:extLst>
            </c:dLbl>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Analysis'!$D$4:$H$4</c:f>
              <c:numCache>
                <c:formatCode>mmm\-yy</c:formatCode>
                <c:ptCount val="5"/>
                <c:pt idx="0">
                  <c:v>44651</c:v>
                </c:pt>
                <c:pt idx="1">
                  <c:v>45016</c:v>
                </c:pt>
                <c:pt idx="2">
                  <c:v>45382</c:v>
                </c:pt>
                <c:pt idx="3">
                  <c:v>45747</c:v>
                </c:pt>
                <c:pt idx="4">
                  <c:v>46112</c:v>
                </c:pt>
              </c:numCache>
            </c:numRef>
          </c:cat>
          <c:val>
            <c:numRef>
              <c:f>'Dupont Analysis'!$D$42:$H$42</c:f>
              <c:numCache>
                <c:formatCode>0.00"x"</c:formatCode>
                <c:ptCount val="5"/>
                <c:pt idx="0">
                  <c:v>2.2400000000000002</c:v>
                </c:pt>
                <c:pt idx="1">
                  <c:v>2.278907062494091</c:v>
                </c:pt>
                <c:pt idx="2">
                  <c:v>2.7568725287139899</c:v>
                </c:pt>
                <c:pt idx="3">
                  <c:v>3.4349336251605842</c:v>
                </c:pt>
                <c:pt idx="4">
                  <c:v>3.7035166684963587</c:v>
                </c:pt>
              </c:numCache>
            </c:numRef>
          </c:val>
          <c:smooth val="0"/>
          <c:extLst>
            <c:ext xmlns:c16="http://schemas.microsoft.com/office/drawing/2014/chart" uri="{C3380CC4-5D6E-409C-BE32-E72D297353CC}">
              <c16:uniqueId val="{00000000-22E2-6943-B005-8DA3E00B5B70}"/>
            </c:ext>
          </c:extLst>
        </c:ser>
        <c:dLbls>
          <c:showLegendKey val="0"/>
          <c:showVal val="0"/>
          <c:showCatName val="0"/>
          <c:showSerName val="0"/>
          <c:showPercent val="0"/>
          <c:showBubbleSize val="0"/>
        </c:dLbls>
        <c:smooth val="0"/>
        <c:axId val="849031872"/>
        <c:axId val="854933504"/>
      </c:lineChart>
      <c:dateAx>
        <c:axId val="849031872"/>
        <c:scaling>
          <c:orientation val="minMax"/>
        </c:scaling>
        <c:delete val="0"/>
        <c:axPos val="b"/>
        <c:numFmt formatCode="yyyy" sourceLinked="0"/>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854933504"/>
        <c:crosses val="autoZero"/>
        <c:auto val="1"/>
        <c:lblOffset val="100"/>
        <c:baseTimeUnit val="years"/>
      </c:dateAx>
      <c:valAx>
        <c:axId val="854933504"/>
        <c:scaling>
          <c:orientation val="minMax"/>
          <c:min val="1"/>
        </c:scaling>
        <c:delete val="1"/>
        <c:axPos val="l"/>
        <c:numFmt formatCode="0.00&quot;x&quot;" sourceLinked="1"/>
        <c:majorTickMark val="none"/>
        <c:minorTickMark val="none"/>
        <c:tickLblPos val="nextTo"/>
        <c:crossAx val="84903187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en-GB" sz="1050"/>
              <a:t>Segment</a:t>
            </a:r>
            <a:r>
              <a:rPr lang="en-GB" sz="1050" baseline="0"/>
              <a:t> Revenue Mix</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percentStacked"/>
        <c:varyColors val="0"/>
        <c:ser>
          <c:idx val="0"/>
          <c:order val="0"/>
          <c:tx>
            <c:strRef>
              <c:f>'Segment Analysis'!$B$38</c:f>
              <c:strCache>
                <c:ptCount val="1"/>
                <c:pt idx="0">
                  <c:v>Watches</c:v>
                </c:pt>
              </c:strCache>
            </c:strRef>
          </c:tx>
          <c:spPr>
            <a:solidFill>
              <a:srgbClr val="06B0AB"/>
            </a:solidFill>
            <a:ln>
              <a:noFill/>
            </a:ln>
            <a:effectLst/>
          </c:spPr>
          <c:invertIfNegative val="0"/>
          <c:cat>
            <c:numRef>
              <c:f>'Segment Analysis'!$C$3:$G$3</c:f>
              <c:numCache>
                <c:formatCode>mmm\-yy</c:formatCode>
                <c:ptCount val="5"/>
                <c:pt idx="0">
                  <c:v>44651</c:v>
                </c:pt>
                <c:pt idx="1">
                  <c:v>45016</c:v>
                </c:pt>
                <c:pt idx="2">
                  <c:v>45382</c:v>
                </c:pt>
                <c:pt idx="3">
                  <c:v>45747</c:v>
                </c:pt>
                <c:pt idx="4">
                  <c:v>46112</c:v>
                </c:pt>
              </c:numCache>
            </c:numRef>
          </c:cat>
          <c:val>
            <c:numRef>
              <c:f>'Segment Analysis'!$C$38:$G$38</c:f>
              <c:numCache>
                <c:formatCode>_(* #,##0.00_);_(* \(#,##0.00\);_(* "-"??_);_(@_)</c:formatCode>
                <c:ptCount val="5"/>
                <c:pt idx="0">
                  <c:v>2309</c:v>
                </c:pt>
                <c:pt idx="1">
                  <c:v>3296</c:v>
                </c:pt>
                <c:pt idx="2">
                  <c:v>3904</c:v>
                </c:pt>
                <c:pt idx="3">
                  <c:v>4576</c:v>
                </c:pt>
                <c:pt idx="4">
                  <c:v>5233</c:v>
                </c:pt>
              </c:numCache>
            </c:numRef>
          </c:val>
          <c:extLst>
            <c:ext xmlns:c16="http://schemas.microsoft.com/office/drawing/2014/chart" uri="{C3380CC4-5D6E-409C-BE32-E72D297353CC}">
              <c16:uniqueId val="{00000000-8759-2949-A041-46F69E79DE7F}"/>
            </c:ext>
          </c:extLst>
        </c:ser>
        <c:ser>
          <c:idx val="1"/>
          <c:order val="1"/>
          <c:tx>
            <c:strRef>
              <c:f>'Segment Analysis'!$B$39</c:f>
              <c:strCache>
                <c:ptCount val="1"/>
                <c:pt idx="0">
                  <c:v>Jewellery</c:v>
                </c:pt>
              </c:strCache>
            </c:strRef>
          </c:tx>
          <c:spPr>
            <a:solidFill>
              <a:srgbClr val="002060"/>
            </a:solidFill>
            <a:ln>
              <a:noFill/>
            </a:ln>
            <a:effectLst/>
          </c:spPr>
          <c:invertIfNegative val="0"/>
          <c:cat>
            <c:numRef>
              <c:f>'Segment Analysis'!$C$3:$G$3</c:f>
              <c:numCache>
                <c:formatCode>mmm\-yy</c:formatCode>
                <c:ptCount val="5"/>
                <c:pt idx="0">
                  <c:v>44651</c:v>
                </c:pt>
                <c:pt idx="1">
                  <c:v>45016</c:v>
                </c:pt>
                <c:pt idx="2">
                  <c:v>45382</c:v>
                </c:pt>
                <c:pt idx="3">
                  <c:v>45747</c:v>
                </c:pt>
                <c:pt idx="4">
                  <c:v>46112</c:v>
                </c:pt>
              </c:numCache>
            </c:numRef>
          </c:cat>
          <c:val>
            <c:numRef>
              <c:f>'Segment Analysis'!$C$39:$G$39</c:f>
              <c:numCache>
                <c:formatCode>_(* #,##0.00_);_(* \(#,##0.00\);_(* "-"??_);_(@_)</c:formatCode>
                <c:ptCount val="5"/>
                <c:pt idx="0">
                  <c:v>24313</c:v>
                </c:pt>
                <c:pt idx="1">
                  <c:v>34105</c:v>
                </c:pt>
                <c:pt idx="2">
                  <c:v>42292</c:v>
                </c:pt>
                <c:pt idx="3">
                  <c:v>49227</c:v>
                </c:pt>
                <c:pt idx="4">
                  <c:v>71108</c:v>
                </c:pt>
              </c:numCache>
            </c:numRef>
          </c:val>
          <c:extLst>
            <c:ext xmlns:c16="http://schemas.microsoft.com/office/drawing/2014/chart" uri="{C3380CC4-5D6E-409C-BE32-E72D297353CC}">
              <c16:uniqueId val="{00000005-8759-2949-A041-46F69E79DE7F}"/>
            </c:ext>
          </c:extLst>
        </c:ser>
        <c:ser>
          <c:idx val="2"/>
          <c:order val="2"/>
          <c:tx>
            <c:strRef>
              <c:f>'Segment Analysis'!$B$40</c:f>
              <c:strCache>
                <c:ptCount val="1"/>
                <c:pt idx="0">
                  <c:v>EyeCare</c:v>
                </c:pt>
              </c:strCache>
            </c:strRef>
          </c:tx>
          <c:spPr>
            <a:solidFill>
              <a:schemeClr val="accent3"/>
            </a:solidFill>
            <a:ln>
              <a:noFill/>
            </a:ln>
            <a:effectLst/>
          </c:spPr>
          <c:invertIfNegative val="0"/>
          <c:cat>
            <c:numRef>
              <c:f>'Segment Analysis'!$C$3:$G$3</c:f>
              <c:numCache>
                <c:formatCode>mmm\-yy</c:formatCode>
                <c:ptCount val="5"/>
                <c:pt idx="0">
                  <c:v>44651</c:v>
                </c:pt>
                <c:pt idx="1">
                  <c:v>45016</c:v>
                </c:pt>
                <c:pt idx="2">
                  <c:v>45382</c:v>
                </c:pt>
                <c:pt idx="3">
                  <c:v>45747</c:v>
                </c:pt>
                <c:pt idx="4">
                  <c:v>46112</c:v>
                </c:pt>
              </c:numCache>
            </c:numRef>
          </c:cat>
          <c:val>
            <c:numRef>
              <c:f>'Segment Analysis'!$C$40:$G$40</c:f>
              <c:numCache>
                <c:formatCode>_(* #,##0.00_);_(* \(#,##0.00\);_(* "-"??_);_(@_)</c:formatCode>
                <c:ptCount val="5"/>
                <c:pt idx="0">
                  <c:v>517</c:v>
                </c:pt>
                <c:pt idx="1">
                  <c:v>689</c:v>
                </c:pt>
                <c:pt idx="2">
                  <c:v>724</c:v>
                </c:pt>
                <c:pt idx="3">
                  <c:v>796</c:v>
                </c:pt>
                <c:pt idx="4">
                  <c:v>907</c:v>
                </c:pt>
              </c:numCache>
            </c:numRef>
          </c:val>
          <c:extLst>
            <c:ext xmlns:c16="http://schemas.microsoft.com/office/drawing/2014/chart" uri="{C3380CC4-5D6E-409C-BE32-E72D297353CC}">
              <c16:uniqueId val="{00000006-8759-2949-A041-46F69E79DE7F}"/>
            </c:ext>
          </c:extLst>
        </c:ser>
        <c:ser>
          <c:idx val="3"/>
          <c:order val="3"/>
          <c:tx>
            <c:strRef>
              <c:f>'Segment Analysis'!$B$41</c:f>
              <c:strCache>
                <c:ptCount val="1"/>
                <c:pt idx="0">
                  <c:v>Others</c:v>
                </c:pt>
              </c:strCache>
            </c:strRef>
          </c:tx>
          <c:spPr>
            <a:solidFill>
              <a:schemeClr val="accent4"/>
            </a:solidFill>
            <a:ln>
              <a:noFill/>
            </a:ln>
            <a:effectLst/>
          </c:spPr>
          <c:invertIfNegative val="0"/>
          <c:cat>
            <c:numRef>
              <c:f>'Segment Analysis'!$C$3:$G$3</c:f>
              <c:numCache>
                <c:formatCode>mmm\-yy</c:formatCode>
                <c:ptCount val="5"/>
                <c:pt idx="0">
                  <c:v>44651</c:v>
                </c:pt>
                <c:pt idx="1">
                  <c:v>45016</c:v>
                </c:pt>
                <c:pt idx="2">
                  <c:v>45382</c:v>
                </c:pt>
                <c:pt idx="3">
                  <c:v>45747</c:v>
                </c:pt>
                <c:pt idx="4">
                  <c:v>46112</c:v>
                </c:pt>
              </c:numCache>
            </c:numRef>
          </c:cat>
          <c:val>
            <c:numRef>
              <c:f>'Segment Analysis'!$C$41:$G$41</c:f>
              <c:numCache>
                <c:formatCode>_(* #,##0.00_);_(* \(#,##0.00\);_(* "-"??_);_(@_)</c:formatCode>
                <c:ptCount val="5"/>
                <c:pt idx="0">
                  <c:v>154</c:v>
                </c:pt>
                <c:pt idx="1">
                  <c:v>295</c:v>
                </c:pt>
                <c:pt idx="2">
                  <c:v>378</c:v>
                </c:pt>
                <c:pt idx="3">
                  <c:v>406</c:v>
                </c:pt>
                <c:pt idx="4">
                  <c:v>508</c:v>
                </c:pt>
              </c:numCache>
            </c:numRef>
          </c:val>
          <c:extLst>
            <c:ext xmlns:c16="http://schemas.microsoft.com/office/drawing/2014/chart" uri="{C3380CC4-5D6E-409C-BE32-E72D297353CC}">
              <c16:uniqueId val="{00000007-8759-2949-A041-46F69E79DE7F}"/>
            </c:ext>
          </c:extLst>
        </c:ser>
        <c:dLbls>
          <c:showLegendKey val="0"/>
          <c:showVal val="0"/>
          <c:showCatName val="0"/>
          <c:showSerName val="0"/>
          <c:showPercent val="0"/>
          <c:showBubbleSize val="0"/>
        </c:dLbls>
        <c:gapWidth val="150"/>
        <c:overlap val="100"/>
        <c:axId val="2123378048"/>
        <c:axId val="2123372224"/>
      </c:barChart>
      <c:dateAx>
        <c:axId val="2123378048"/>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2123372224"/>
        <c:crosses val="autoZero"/>
        <c:auto val="1"/>
        <c:lblOffset val="100"/>
        <c:baseTimeUnit val="years"/>
      </c:dateAx>
      <c:valAx>
        <c:axId val="212337222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2123378048"/>
        <c:crosses val="autoZero"/>
        <c:crossBetween val="between"/>
        <c:majorUnit val="0.2"/>
      </c:valAx>
      <c:spPr>
        <a:noFill/>
        <a:ln>
          <a:noFill/>
        </a:ln>
        <a:effectLst/>
      </c:spPr>
    </c:plotArea>
    <c:legend>
      <c:legendPos val="r"/>
      <c:overlay val="0"/>
      <c:spPr>
        <a:noFill/>
        <a:ln>
          <a:noFill/>
        </a:ln>
        <a:effectLst/>
      </c:spPr>
      <c:txPr>
        <a:bodyPr rot="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en-IN" sz="1050" b="0" i="0" u="none" strike="noStrike" baseline="0">
                <a:effectLst/>
              </a:rPr>
              <a:t>ROCE Moat</a:t>
            </a:r>
            <a:endParaRPr lang="en-GB" sz="1050"/>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8.7282181917392232E-2"/>
          <c:y val="0.15291091765381187"/>
          <c:w val="0.77522196982277991"/>
          <c:h val="0.80173332372323702"/>
        </c:manualLayout>
      </c:layout>
      <c:lineChart>
        <c:grouping val="standard"/>
        <c:varyColors val="0"/>
        <c:ser>
          <c:idx val="0"/>
          <c:order val="0"/>
          <c:tx>
            <c:strRef>
              <c:f>'Segment Analysis'!$B$76</c:f>
              <c:strCache>
                <c:ptCount val="1"/>
                <c:pt idx="0">
                  <c:v>Watches</c:v>
                </c:pt>
              </c:strCache>
            </c:strRef>
          </c:tx>
          <c:spPr>
            <a:ln w="19050" cap="flat">
              <a:solidFill>
                <a:srgbClr val="06B0AB"/>
              </a:solidFill>
              <a:round/>
            </a:ln>
            <a:effectLst/>
          </c:spPr>
          <c:marker>
            <c:symbol val="circle"/>
            <c:size val="5"/>
            <c:spPr>
              <a:noFill/>
              <a:ln w="9525">
                <a:noFill/>
              </a:ln>
              <a:effectLst/>
            </c:spPr>
          </c:marker>
          <c:cat>
            <c:numRef>
              <c:f>'Segment Analysis'!$C$3:$G$3</c:f>
              <c:numCache>
                <c:formatCode>mmm\-yy</c:formatCode>
                <c:ptCount val="5"/>
                <c:pt idx="0">
                  <c:v>44651</c:v>
                </c:pt>
                <c:pt idx="1">
                  <c:v>45016</c:v>
                </c:pt>
                <c:pt idx="2">
                  <c:v>45382</c:v>
                </c:pt>
                <c:pt idx="3">
                  <c:v>45747</c:v>
                </c:pt>
                <c:pt idx="4">
                  <c:v>46112</c:v>
                </c:pt>
              </c:numCache>
            </c:numRef>
          </c:cat>
          <c:val>
            <c:numRef>
              <c:f>'Segment Analysis'!$C$76:$G$76</c:f>
              <c:numCache>
                <c:formatCode>0.00%</c:formatCode>
                <c:ptCount val="5"/>
                <c:pt idx="0">
                  <c:v>7.9940784603997034E-2</c:v>
                </c:pt>
                <c:pt idx="1">
                  <c:v>0.23412698412698413</c:v>
                </c:pt>
                <c:pt idx="2">
                  <c:v>0.15239923224568139</c:v>
                </c:pt>
                <c:pt idx="3">
                  <c:v>0.19301919720767888</c:v>
                </c:pt>
                <c:pt idx="4">
                  <c:v>0.26883780332056195</c:v>
                </c:pt>
              </c:numCache>
            </c:numRef>
          </c:val>
          <c:smooth val="1"/>
          <c:extLst>
            <c:ext xmlns:c16="http://schemas.microsoft.com/office/drawing/2014/chart" uri="{C3380CC4-5D6E-409C-BE32-E72D297353CC}">
              <c16:uniqueId val="{00000001-07F8-A145-A1D8-D3A9BC4EAB24}"/>
            </c:ext>
          </c:extLst>
        </c:ser>
        <c:ser>
          <c:idx val="1"/>
          <c:order val="1"/>
          <c:tx>
            <c:strRef>
              <c:f>'Segment Analysis'!$B$77</c:f>
              <c:strCache>
                <c:ptCount val="1"/>
                <c:pt idx="0">
                  <c:v>Jewellery</c:v>
                </c:pt>
              </c:strCache>
            </c:strRef>
          </c:tx>
          <c:spPr>
            <a:ln w="31750" cap="rnd">
              <a:solidFill>
                <a:srgbClr val="002060"/>
              </a:solidFill>
              <a:round/>
            </a:ln>
            <a:effectLst/>
          </c:spPr>
          <c:marker>
            <c:symbol val="circle"/>
            <c:size val="5"/>
            <c:spPr>
              <a:noFill/>
              <a:ln w="9525">
                <a:noFill/>
              </a:ln>
              <a:effectLst/>
            </c:spPr>
          </c:marker>
          <c:cat>
            <c:numRef>
              <c:f>'Segment Analysis'!$C$3:$G$3</c:f>
              <c:numCache>
                <c:formatCode>mmm\-yy</c:formatCode>
                <c:ptCount val="5"/>
                <c:pt idx="0">
                  <c:v>44651</c:v>
                </c:pt>
                <c:pt idx="1">
                  <c:v>45016</c:v>
                </c:pt>
                <c:pt idx="2">
                  <c:v>45382</c:v>
                </c:pt>
                <c:pt idx="3">
                  <c:v>45747</c:v>
                </c:pt>
                <c:pt idx="4">
                  <c:v>46112</c:v>
                </c:pt>
              </c:numCache>
            </c:numRef>
          </c:cat>
          <c:val>
            <c:numRef>
              <c:f>'Segment Analysis'!$C$77:$G$77</c:f>
              <c:numCache>
                <c:formatCode>0.00%</c:formatCode>
                <c:ptCount val="5"/>
                <c:pt idx="0">
                  <c:v>0.60564225690276108</c:v>
                </c:pt>
                <c:pt idx="1">
                  <c:v>0.6842848180677541</c:v>
                </c:pt>
                <c:pt idx="2">
                  <c:v>0.61923480083857441</c:v>
                </c:pt>
                <c:pt idx="3">
                  <c:v>0.41469359331476324</c:v>
                </c:pt>
                <c:pt idx="4">
                  <c:v>0.5664635716124603</c:v>
                </c:pt>
              </c:numCache>
            </c:numRef>
          </c:val>
          <c:smooth val="1"/>
          <c:extLst>
            <c:ext xmlns:c16="http://schemas.microsoft.com/office/drawing/2014/chart" uri="{C3380CC4-5D6E-409C-BE32-E72D297353CC}">
              <c16:uniqueId val="{00000002-07F8-A145-A1D8-D3A9BC4EAB24}"/>
            </c:ext>
          </c:extLst>
        </c:ser>
        <c:ser>
          <c:idx val="2"/>
          <c:order val="2"/>
          <c:tx>
            <c:strRef>
              <c:f>'Segment Analysis'!$B$78</c:f>
              <c:strCache>
                <c:ptCount val="1"/>
                <c:pt idx="0">
                  <c:v>EyeCare</c:v>
                </c:pt>
              </c:strCache>
            </c:strRef>
          </c:tx>
          <c:spPr>
            <a:ln w="19050" cap="rnd">
              <a:solidFill>
                <a:schemeClr val="accent3"/>
              </a:solidFill>
              <a:round/>
            </a:ln>
            <a:effectLst/>
          </c:spPr>
          <c:marker>
            <c:symbol val="circle"/>
            <c:size val="5"/>
            <c:spPr>
              <a:noFill/>
              <a:ln w="9525">
                <a:noFill/>
              </a:ln>
              <a:effectLst/>
            </c:spPr>
          </c:marker>
          <c:cat>
            <c:numRef>
              <c:f>'Segment Analysis'!$C$3:$G$3</c:f>
              <c:numCache>
                <c:formatCode>mmm\-yy</c:formatCode>
                <c:ptCount val="5"/>
                <c:pt idx="0">
                  <c:v>44651</c:v>
                </c:pt>
                <c:pt idx="1">
                  <c:v>45016</c:v>
                </c:pt>
                <c:pt idx="2">
                  <c:v>45382</c:v>
                </c:pt>
                <c:pt idx="3">
                  <c:v>45747</c:v>
                </c:pt>
                <c:pt idx="4">
                  <c:v>46112</c:v>
                </c:pt>
              </c:numCache>
            </c:numRef>
          </c:cat>
          <c:val>
            <c:numRef>
              <c:f>'Segment Analysis'!$C$78:$G$78</c:f>
              <c:numCache>
                <c:formatCode>0.00%</c:formatCode>
                <c:ptCount val="5"/>
                <c:pt idx="0">
                  <c:v>0.25773195876288657</c:v>
                </c:pt>
                <c:pt idx="1">
                  <c:v>0.3828125</c:v>
                </c:pt>
                <c:pt idx="2">
                  <c:v>0.32567049808429116</c:v>
                </c:pt>
                <c:pt idx="3">
                  <c:v>0.33203125</c:v>
                </c:pt>
                <c:pt idx="4">
                  <c:v>0.31698113207547168</c:v>
                </c:pt>
              </c:numCache>
            </c:numRef>
          </c:val>
          <c:smooth val="1"/>
          <c:extLst>
            <c:ext xmlns:c16="http://schemas.microsoft.com/office/drawing/2014/chart" uri="{C3380CC4-5D6E-409C-BE32-E72D297353CC}">
              <c16:uniqueId val="{00000003-07F8-A145-A1D8-D3A9BC4EAB24}"/>
            </c:ext>
          </c:extLst>
        </c:ser>
        <c:ser>
          <c:idx val="3"/>
          <c:order val="3"/>
          <c:tx>
            <c:strRef>
              <c:f>'Segment Analysis'!$B$79</c:f>
              <c:strCache>
                <c:ptCount val="1"/>
                <c:pt idx="0">
                  <c:v>Others</c:v>
                </c:pt>
              </c:strCache>
            </c:strRef>
          </c:tx>
          <c:spPr>
            <a:ln w="15875" cap="rnd">
              <a:solidFill>
                <a:schemeClr val="bg1">
                  <a:lumMod val="75000"/>
                </a:schemeClr>
              </a:solidFill>
              <a:round/>
            </a:ln>
            <a:effectLst/>
          </c:spPr>
          <c:marker>
            <c:symbol val="circle"/>
            <c:size val="5"/>
            <c:spPr>
              <a:noFill/>
              <a:ln w="9525">
                <a:noFill/>
              </a:ln>
              <a:effectLst/>
            </c:spPr>
          </c:marker>
          <c:cat>
            <c:numRef>
              <c:f>'Segment Analysis'!$C$3:$G$3</c:f>
              <c:numCache>
                <c:formatCode>mmm\-yy</c:formatCode>
                <c:ptCount val="5"/>
                <c:pt idx="0">
                  <c:v>44651</c:v>
                </c:pt>
                <c:pt idx="1">
                  <c:v>45016</c:v>
                </c:pt>
                <c:pt idx="2">
                  <c:v>45382</c:v>
                </c:pt>
                <c:pt idx="3">
                  <c:v>45747</c:v>
                </c:pt>
                <c:pt idx="4">
                  <c:v>46112</c:v>
                </c:pt>
              </c:numCache>
            </c:numRef>
          </c:cat>
          <c:val>
            <c:numRef>
              <c:f>'Segment Analysis'!$C$79:$G$79</c:f>
              <c:numCache>
                <c:formatCode>0.00%</c:formatCode>
                <c:ptCount val="5"/>
                <c:pt idx="0">
                  <c:v>-0.30769230769230771</c:v>
                </c:pt>
                <c:pt idx="1">
                  <c:v>-0.4642857142857143</c:v>
                </c:pt>
                <c:pt idx="2">
                  <c:v>-0.37959183673469388</c:v>
                </c:pt>
                <c:pt idx="3">
                  <c:v>-0.47328244274809161</c:v>
                </c:pt>
                <c:pt idx="4">
                  <c:v>-0.42222222222222222</c:v>
                </c:pt>
              </c:numCache>
            </c:numRef>
          </c:val>
          <c:smooth val="1"/>
          <c:extLst>
            <c:ext xmlns:c16="http://schemas.microsoft.com/office/drawing/2014/chart" uri="{C3380CC4-5D6E-409C-BE32-E72D297353CC}">
              <c16:uniqueId val="{00000004-07F8-A145-A1D8-D3A9BC4EAB24}"/>
            </c:ext>
          </c:extLst>
        </c:ser>
        <c:ser>
          <c:idx val="4"/>
          <c:order val="4"/>
          <c:tx>
            <c:strRef>
              <c:f>'Segment Analysis'!$B$80</c:f>
              <c:strCache>
                <c:ptCount val="1"/>
                <c:pt idx="0">
                  <c:v>Caratlane &amp; other subs</c:v>
                </c:pt>
              </c:strCache>
            </c:strRef>
          </c:tx>
          <c:spPr>
            <a:ln w="31750" cap="rnd">
              <a:solidFill>
                <a:srgbClr val="921685"/>
              </a:solidFill>
              <a:round/>
            </a:ln>
            <a:effectLst/>
          </c:spPr>
          <c:marker>
            <c:symbol val="circle"/>
            <c:size val="5"/>
            <c:spPr>
              <a:noFill/>
              <a:ln w="9525">
                <a:noFill/>
              </a:ln>
              <a:effectLst/>
            </c:spPr>
          </c:marker>
          <c:cat>
            <c:numRef>
              <c:f>'Segment Analysis'!$C$3:$G$3</c:f>
              <c:numCache>
                <c:formatCode>mmm\-yy</c:formatCode>
                <c:ptCount val="5"/>
                <c:pt idx="0">
                  <c:v>44651</c:v>
                </c:pt>
                <c:pt idx="1">
                  <c:v>45016</c:v>
                </c:pt>
                <c:pt idx="2">
                  <c:v>45382</c:v>
                </c:pt>
                <c:pt idx="3">
                  <c:v>45747</c:v>
                </c:pt>
                <c:pt idx="4">
                  <c:v>46112</c:v>
                </c:pt>
              </c:numCache>
            </c:numRef>
          </c:cat>
          <c:val>
            <c:numRef>
              <c:f>'Segment Analysis'!$C$80:$G$80</c:f>
              <c:numCache>
                <c:formatCode>0.00%</c:formatCode>
                <c:ptCount val="5"/>
                <c:pt idx="0">
                  <c:v>-0.54206999255398358</c:v>
                </c:pt>
                <c:pt idx="1">
                  <c:v>-0.52642073778664011</c:v>
                </c:pt>
                <c:pt idx="2">
                  <c:v>-0.43815028901734104</c:v>
                </c:pt>
                <c:pt idx="3">
                  <c:v>-0.19293106815075181</c:v>
                </c:pt>
                <c:pt idx="4">
                  <c:v>0.12174828857293313</c:v>
                </c:pt>
              </c:numCache>
            </c:numRef>
          </c:val>
          <c:smooth val="1"/>
          <c:extLst>
            <c:ext xmlns:c16="http://schemas.microsoft.com/office/drawing/2014/chart" uri="{C3380CC4-5D6E-409C-BE32-E72D297353CC}">
              <c16:uniqueId val="{00000005-07F8-A145-A1D8-D3A9BC4EAB24}"/>
            </c:ext>
          </c:extLst>
        </c:ser>
        <c:dLbls>
          <c:showLegendKey val="0"/>
          <c:showVal val="0"/>
          <c:showCatName val="0"/>
          <c:showSerName val="0"/>
          <c:showPercent val="0"/>
          <c:showBubbleSize val="0"/>
        </c:dLbls>
        <c:marker val="1"/>
        <c:smooth val="0"/>
        <c:axId val="2118746112"/>
        <c:axId val="2122076096"/>
      </c:lineChart>
      <c:dateAx>
        <c:axId val="2118746112"/>
        <c:scaling>
          <c:orientation val="minMax"/>
        </c:scaling>
        <c:delete val="0"/>
        <c:axPos val="b"/>
        <c:numFmt formatCode="yyyy" sourceLinked="0"/>
        <c:majorTickMark val="none"/>
        <c:minorTickMark val="none"/>
        <c:tickLblPos val="nextTo"/>
        <c:spPr>
          <a:noFill/>
          <a:ln w="0"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2122076096"/>
        <c:crosses val="autoZero"/>
        <c:auto val="1"/>
        <c:lblOffset val="100"/>
        <c:baseTimeUnit val="years"/>
      </c:dateAx>
      <c:valAx>
        <c:axId val="2122076096"/>
        <c:scaling>
          <c:orientation val="minMax"/>
          <c:min val="-0.60000000000000009"/>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746112"/>
        <c:crosses val="autoZero"/>
        <c:crossBetween val="between"/>
        <c:majorUnit val="0.4"/>
      </c:valAx>
      <c:spPr>
        <a:noFill/>
        <a:ln>
          <a:noFill/>
        </a:ln>
        <a:effectLst/>
      </c:spPr>
    </c:plotArea>
    <c:legend>
      <c:legendPos val="r"/>
      <c:layout>
        <c:manualLayout>
          <c:xMode val="edge"/>
          <c:yMode val="edge"/>
          <c:x val="0.86627037318213096"/>
          <c:y val="4.5893729217355066E-2"/>
          <c:w val="0.12243096249199308"/>
          <c:h val="0.92535356257128809"/>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en-IN" sz="1050" b="0" i="0" u="none" strike="noStrike" baseline="0">
                <a:effectLst/>
              </a:rPr>
              <a:t>Growth Engine &amp; Margin Cushion</a:t>
            </a:r>
            <a:endParaRPr lang="en-GB" sz="1050"/>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manualLayout>
          <c:layoutTarget val="inner"/>
          <c:xMode val="edge"/>
          <c:yMode val="edge"/>
          <c:x val="8.6465248678211176E-2"/>
          <c:y val="0.16100414048368977"/>
          <c:w val="0.68700135178154687"/>
          <c:h val="0.70638729738867678"/>
        </c:manualLayout>
      </c:layout>
      <c:barChart>
        <c:barDir val="col"/>
        <c:grouping val="clustered"/>
        <c:varyColors val="0"/>
        <c:ser>
          <c:idx val="0"/>
          <c:order val="0"/>
          <c:tx>
            <c:strRef>
              <c:f>'Segment Analysis'!$B$52</c:f>
              <c:strCache>
                <c:ptCount val="1"/>
                <c:pt idx="0">
                  <c:v>Jewellery</c:v>
                </c:pt>
              </c:strCache>
            </c:strRef>
          </c:tx>
          <c:spPr>
            <a:solidFill>
              <a:srgbClr val="002060"/>
            </a:solidFill>
            <a:ln>
              <a:noFill/>
            </a:ln>
            <a:effectLst/>
          </c:spPr>
          <c:invertIfNegative val="0"/>
          <c:cat>
            <c:numRef>
              <c:f>'Segment Analysis'!$C$3:$G$3</c:f>
              <c:numCache>
                <c:formatCode>mmm\-yy</c:formatCode>
                <c:ptCount val="5"/>
                <c:pt idx="0">
                  <c:v>44651</c:v>
                </c:pt>
                <c:pt idx="1">
                  <c:v>45016</c:v>
                </c:pt>
                <c:pt idx="2">
                  <c:v>45382</c:v>
                </c:pt>
                <c:pt idx="3">
                  <c:v>45747</c:v>
                </c:pt>
                <c:pt idx="4">
                  <c:v>46112</c:v>
                </c:pt>
              </c:numCache>
            </c:numRef>
          </c:cat>
          <c:val>
            <c:numRef>
              <c:f>'Segment Analysis'!$C$52:$G$52</c:f>
              <c:numCache>
                <c:formatCode>_(* #,##0.00_);_(* \(#,##0.00\);_(* "-"??_);_(@_)</c:formatCode>
                <c:ptCount val="5"/>
                <c:pt idx="0">
                  <c:v>3027</c:v>
                </c:pt>
                <c:pt idx="1">
                  <c:v>4363</c:v>
                </c:pt>
                <c:pt idx="2">
                  <c:v>4726</c:v>
                </c:pt>
                <c:pt idx="3">
                  <c:v>4764</c:v>
                </c:pt>
                <c:pt idx="4">
                  <c:v>6601</c:v>
                </c:pt>
              </c:numCache>
            </c:numRef>
          </c:val>
          <c:extLst>
            <c:ext xmlns:c16="http://schemas.microsoft.com/office/drawing/2014/chart" uri="{C3380CC4-5D6E-409C-BE32-E72D297353CC}">
              <c16:uniqueId val="{00000000-6A07-7D45-9C9A-019CCA141626}"/>
            </c:ext>
          </c:extLst>
        </c:ser>
        <c:ser>
          <c:idx val="1"/>
          <c:order val="1"/>
          <c:tx>
            <c:strRef>
              <c:f>'Segment Analysis'!$B$51</c:f>
              <c:strCache>
                <c:ptCount val="1"/>
                <c:pt idx="0">
                  <c:v>Watches</c:v>
                </c:pt>
              </c:strCache>
            </c:strRef>
          </c:tx>
          <c:spPr>
            <a:solidFill>
              <a:srgbClr val="06B0AB"/>
            </a:solidFill>
            <a:ln>
              <a:noFill/>
            </a:ln>
            <a:effectLst/>
          </c:spPr>
          <c:invertIfNegative val="0"/>
          <c:cat>
            <c:numRef>
              <c:f>'Segment Analysis'!$C$3:$G$3</c:f>
              <c:numCache>
                <c:formatCode>mmm\-yy</c:formatCode>
                <c:ptCount val="5"/>
                <c:pt idx="0">
                  <c:v>44651</c:v>
                </c:pt>
                <c:pt idx="1">
                  <c:v>45016</c:v>
                </c:pt>
                <c:pt idx="2">
                  <c:v>45382</c:v>
                </c:pt>
                <c:pt idx="3">
                  <c:v>45747</c:v>
                </c:pt>
                <c:pt idx="4">
                  <c:v>46112</c:v>
                </c:pt>
              </c:numCache>
            </c:numRef>
          </c:cat>
          <c:val>
            <c:numRef>
              <c:f>'Segment Analysis'!$C$51:$G$51</c:f>
              <c:numCache>
                <c:formatCode>_(* #,##0.00_);_(* \(#,##0.00\);_(* "-"??_);_(@_)</c:formatCode>
                <c:ptCount val="5"/>
                <c:pt idx="0">
                  <c:v>108</c:v>
                </c:pt>
                <c:pt idx="1">
                  <c:v>413</c:v>
                </c:pt>
                <c:pt idx="2">
                  <c:v>397</c:v>
                </c:pt>
                <c:pt idx="3">
                  <c:v>553</c:v>
                </c:pt>
                <c:pt idx="4">
                  <c:v>842</c:v>
                </c:pt>
              </c:numCache>
            </c:numRef>
          </c:val>
          <c:extLst>
            <c:ext xmlns:c16="http://schemas.microsoft.com/office/drawing/2014/chart" uri="{C3380CC4-5D6E-409C-BE32-E72D297353CC}">
              <c16:uniqueId val="{00000001-6A07-7D45-9C9A-019CCA141626}"/>
            </c:ext>
          </c:extLst>
        </c:ser>
        <c:dLbls>
          <c:showLegendKey val="0"/>
          <c:showVal val="0"/>
          <c:showCatName val="0"/>
          <c:showSerName val="0"/>
          <c:showPercent val="0"/>
          <c:showBubbleSize val="0"/>
        </c:dLbls>
        <c:gapWidth val="219"/>
        <c:axId val="2106978112"/>
        <c:axId val="2106974528"/>
      </c:barChart>
      <c:lineChart>
        <c:grouping val="standard"/>
        <c:varyColors val="0"/>
        <c:ser>
          <c:idx val="2"/>
          <c:order val="2"/>
          <c:tx>
            <c:v>Jewellery EBIT Margin</c:v>
          </c:tx>
          <c:spPr>
            <a:ln w="28575" cap="rnd">
              <a:solidFill>
                <a:srgbClr val="002060"/>
              </a:solidFill>
              <a:round/>
            </a:ln>
            <a:effectLst/>
          </c:spPr>
          <c:marker>
            <c:symbol val="none"/>
          </c:marker>
          <c:cat>
            <c:numRef>
              <c:f>'Segment Analysis'!$C$3:$G$3</c:f>
              <c:numCache>
                <c:formatCode>mmm\-yy</c:formatCode>
                <c:ptCount val="5"/>
                <c:pt idx="0">
                  <c:v>44651</c:v>
                </c:pt>
                <c:pt idx="1">
                  <c:v>45016</c:v>
                </c:pt>
                <c:pt idx="2">
                  <c:v>45382</c:v>
                </c:pt>
                <c:pt idx="3">
                  <c:v>45747</c:v>
                </c:pt>
                <c:pt idx="4">
                  <c:v>46112</c:v>
                </c:pt>
              </c:numCache>
            </c:numRef>
          </c:cat>
          <c:val>
            <c:numRef>
              <c:f>'Segment Analysis'!$C$70:$G$70</c:f>
              <c:numCache>
                <c:formatCode>0.00%</c:formatCode>
                <c:ptCount val="5"/>
                <c:pt idx="0">
                  <c:v>0.12450129560317526</c:v>
                </c:pt>
                <c:pt idx="1">
                  <c:v>0.12792845623808827</c:v>
                </c:pt>
                <c:pt idx="2">
                  <c:v>0.11174690248746807</c:v>
                </c:pt>
                <c:pt idx="3">
                  <c:v>9.6776159424705951E-2</c:v>
                </c:pt>
                <c:pt idx="4">
                  <c:v>9.2830623839792986E-2</c:v>
                </c:pt>
              </c:numCache>
            </c:numRef>
          </c:val>
          <c:smooth val="1"/>
          <c:extLst>
            <c:ext xmlns:c16="http://schemas.microsoft.com/office/drawing/2014/chart" uri="{C3380CC4-5D6E-409C-BE32-E72D297353CC}">
              <c16:uniqueId val="{00000002-6A07-7D45-9C9A-019CCA141626}"/>
            </c:ext>
          </c:extLst>
        </c:ser>
        <c:ser>
          <c:idx val="3"/>
          <c:order val="3"/>
          <c:tx>
            <c:v>Watches EBIT Margin</c:v>
          </c:tx>
          <c:spPr>
            <a:ln w="31750" cap="rnd">
              <a:solidFill>
                <a:srgbClr val="06B0AB"/>
              </a:solidFill>
              <a:round/>
            </a:ln>
            <a:effectLst/>
          </c:spPr>
          <c:marker>
            <c:symbol val="none"/>
          </c:marker>
          <c:cat>
            <c:numRef>
              <c:f>'Segment Analysis'!$C$3:$G$3</c:f>
              <c:numCache>
                <c:formatCode>mmm\-yy</c:formatCode>
                <c:ptCount val="5"/>
                <c:pt idx="0">
                  <c:v>44651</c:v>
                </c:pt>
                <c:pt idx="1">
                  <c:v>45016</c:v>
                </c:pt>
                <c:pt idx="2">
                  <c:v>45382</c:v>
                </c:pt>
                <c:pt idx="3">
                  <c:v>45747</c:v>
                </c:pt>
                <c:pt idx="4">
                  <c:v>46112</c:v>
                </c:pt>
              </c:numCache>
            </c:numRef>
          </c:cat>
          <c:val>
            <c:numRef>
              <c:f>'Segment Analysis'!$C$69:$G$69</c:f>
              <c:numCache>
                <c:formatCode>0.00%</c:formatCode>
                <c:ptCount val="5"/>
                <c:pt idx="0">
                  <c:v>4.6773495019488957E-2</c:v>
                </c:pt>
                <c:pt idx="1">
                  <c:v>0.12530339805825244</c:v>
                </c:pt>
                <c:pt idx="2">
                  <c:v>0.1016905737704918</c:v>
                </c:pt>
                <c:pt idx="3">
                  <c:v>0.1208479020979021</c:v>
                </c:pt>
                <c:pt idx="4">
                  <c:v>0.16090196827823428</c:v>
                </c:pt>
              </c:numCache>
            </c:numRef>
          </c:val>
          <c:smooth val="1"/>
          <c:extLst>
            <c:ext xmlns:c16="http://schemas.microsoft.com/office/drawing/2014/chart" uri="{C3380CC4-5D6E-409C-BE32-E72D297353CC}">
              <c16:uniqueId val="{00000003-6A07-7D45-9C9A-019CCA141626}"/>
            </c:ext>
          </c:extLst>
        </c:ser>
        <c:dLbls>
          <c:showLegendKey val="0"/>
          <c:showVal val="0"/>
          <c:showCatName val="0"/>
          <c:showSerName val="0"/>
          <c:showPercent val="0"/>
          <c:showBubbleSize val="0"/>
        </c:dLbls>
        <c:marker val="1"/>
        <c:smooth val="0"/>
        <c:axId val="2107164864"/>
        <c:axId val="2097797248"/>
      </c:lineChart>
      <c:dateAx>
        <c:axId val="2106978112"/>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2106974528"/>
        <c:crosses val="autoZero"/>
        <c:auto val="1"/>
        <c:lblOffset val="100"/>
        <c:baseTimeUnit val="years"/>
      </c:dateAx>
      <c:valAx>
        <c:axId val="2106974528"/>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978112"/>
        <c:crosses val="autoZero"/>
        <c:crossBetween val="between"/>
        <c:majorUnit val="2000"/>
      </c:valAx>
      <c:valAx>
        <c:axId val="2097797248"/>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7164864"/>
        <c:crosses val="max"/>
        <c:crossBetween val="between"/>
        <c:majorUnit val="4.0000000000000008E-2"/>
      </c:valAx>
      <c:dateAx>
        <c:axId val="2107164864"/>
        <c:scaling>
          <c:orientation val="minMax"/>
        </c:scaling>
        <c:delete val="1"/>
        <c:axPos val="b"/>
        <c:numFmt formatCode="mmm\-yy" sourceLinked="1"/>
        <c:majorTickMark val="out"/>
        <c:minorTickMark val="none"/>
        <c:tickLblPos val="nextTo"/>
        <c:crossAx val="2097797248"/>
        <c:crosses val="autoZero"/>
        <c:auto val="1"/>
        <c:lblOffset val="100"/>
        <c:baseTimeUnit val="years"/>
      </c:dateAx>
      <c:spPr>
        <a:noFill/>
        <a:ln>
          <a:noFill/>
        </a:ln>
        <a:effectLst/>
      </c:spPr>
    </c:plotArea>
    <c:legend>
      <c:legendPos val="r"/>
      <c:layout>
        <c:manualLayout>
          <c:xMode val="edge"/>
          <c:yMode val="edge"/>
          <c:x val="0.84350293557070921"/>
          <c:y val="4.9730324307203387E-2"/>
          <c:w val="0.13981308247514099"/>
          <c:h val="0.91996289010874654"/>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5586396956379434E-2"/>
          <c:y val="2.4712821510713568E-2"/>
          <c:w val="0.85943486270505154"/>
          <c:h val="0.81893816708366873"/>
        </c:manualLayout>
      </c:layout>
      <c:lineChart>
        <c:grouping val="standard"/>
        <c:varyColors val="0"/>
        <c:ser>
          <c:idx val="0"/>
          <c:order val="0"/>
          <c:spPr>
            <a:ln w="28575" cap="rnd">
              <a:solidFill>
                <a:srgbClr val="002060"/>
              </a:solidFill>
              <a:round/>
            </a:ln>
            <a:effectLst/>
          </c:spPr>
          <c:marker>
            <c:symbol val="none"/>
          </c:marker>
          <c:cat>
            <c:numRef>
              <c:f>'Hist Share Price'!$B$4:$B$1244</c:f>
              <c:numCache>
                <c:formatCode>m/d/yy</c:formatCode>
                <c:ptCount val="1241"/>
                <c:pt idx="0">
                  <c:v>46261</c:v>
                </c:pt>
                <c:pt idx="1">
                  <c:v>46260</c:v>
                </c:pt>
                <c:pt idx="2">
                  <c:v>46259</c:v>
                </c:pt>
                <c:pt idx="3">
                  <c:v>46258</c:v>
                </c:pt>
                <c:pt idx="4">
                  <c:v>46255</c:v>
                </c:pt>
                <c:pt idx="5">
                  <c:v>46254</c:v>
                </c:pt>
                <c:pt idx="6">
                  <c:v>46253</c:v>
                </c:pt>
                <c:pt idx="7">
                  <c:v>46252</c:v>
                </c:pt>
                <c:pt idx="8">
                  <c:v>46251</c:v>
                </c:pt>
                <c:pt idx="9">
                  <c:v>46248</c:v>
                </c:pt>
                <c:pt idx="10">
                  <c:v>46247</c:v>
                </c:pt>
                <c:pt idx="11">
                  <c:v>46246</c:v>
                </c:pt>
                <c:pt idx="12">
                  <c:v>46245</c:v>
                </c:pt>
                <c:pt idx="13">
                  <c:v>46244</c:v>
                </c:pt>
                <c:pt idx="14">
                  <c:v>46241</c:v>
                </c:pt>
                <c:pt idx="15">
                  <c:v>46240</c:v>
                </c:pt>
                <c:pt idx="16">
                  <c:v>46239</c:v>
                </c:pt>
                <c:pt idx="17">
                  <c:v>46238</c:v>
                </c:pt>
                <c:pt idx="18">
                  <c:v>46237</c:v>
                </c:pt>
                <c:pt idx="19">
                  <c:v>46234</c:v>
                </c:pt>
                <c:pt idx="20">
                  <c:v>46233</c:v>
                </c:pt>
                <c:pt idx="21">
                  <c:v>46232</c:v>
                </c:pt>
                <c:pt idx="22">
                  <c:v>46231</c:v>
                </c:pt>
                <c:pt idx="23">
                  <c:v>46230</c:v>
                </c:pt>
                <c:pt idx="24">
                  <c:v>46227</c:v>
                </c:pt>
                <c:pt idx="25">
                  <c:v>46226</c:v>
                </c:pt>
                <c:pt idx="26">
                  <c:v>46225</c:v>
                </c:pt>
                <c:pt idx="27">
                  <c:v>46224</c:v>
                </c:pt>
                <c:pt idx="28">
                  <c:v>46223</c:v>
                </c:pt>
                <c:pt idx="29">
                  <c:v>46220</c:v>
                </c:pt>
                <c:pt idx="30">
                  <c:v>46219</c:v>
                </c:pt>
                <c:pt idx="31">
                  <c:v>46218</c:v>
                </c:pt>
                <c:pt idx="32">
                  <c:v>46217</c:v>
                </c:pt>
                <c:pt idx="33">
                  <c:v>46216</c:v>
                </c:pt>
                <c:pt idx="34">
                  <c:v>46213</c:v>
                </c:pt>
                <c:pt idx="35">
                  <c:v>46212</c:v>
                </c:pt>
                <c:pt idx="36">
                  <c:v>46211</c:v>
                </c:pt>
                <c:pt idx="37">
                  <c:v>46210</c:v>
                </c:pt>
                <c:pt idx="38">
                  <c:v>46209</c:v>
                </c:pt>
                <c:pt idx="39">
                  <c:v>46206</c:v>
                </c:pt>
                <c:pt idx="40">
                  <c:v>46205</c:v>
                </c:pt>
                <c:pt idx="41">
                  <c:v>46204</c:v>
                </c:pt>
                <c:pt idx="42">
                  <c:v>46203</c:v>
                </c:pt>
                <c:pt idx="43">
                  <c:v>46202</c:v>
                </c:pt>
                <c:pt idx="44">
                  <c:v>46198</c:v>
                </c:pt>
                <c:pt idx="45">
                  <c:v>46197</c:v>
                </c:pt>
                <c:pt idx="46">
                  <c:v>46196</c:v>
                </c:pt>
                <c:pt idx="47">
                  <c:v>46195</c:v>
                </c:pt>
                <c:pt idx="48">
                  <c:v>46192</c:v>
                </c:pt>
                <c:pt idx="49">
                  <c:v>46191</c:v>
                </c:pt>
                <c:pt idx="50">
                  <c:v>46190</c:v>
                </c:pt>
                <c:pt idx="51">
                  <c:v>46189</c:v>
                </c:pt>
                <c:pt idx="52">
                  <c:v>46188</c:v>
                </c:pt>
                <c:pt idx="53">
                  <c:v>46185</c:v>
                </c:pt>
                <c:pt idx="54">
                  <c:v>46184</c:v>
                </c:pt>
                <c:pt idx="55">
                  <c:v>46183</c:v>
                </c:pt>
                <c:pt idx="56">
                  <c:v>46182</c:v>
                </c:pt>
                <c:pt idx="57">
                  <c:v>46181</c:v>
                </c:pt>
                <c:pt idx="58">
                  <c:v>46178</c:v>
                </c:pt>
                <c:pt idx="59">
                  <c:v>46177</c:v>
                </c:pt>
                <c:pt idx="60">
                  <c:v>46176</c:v>
                </c:pt>
                <c:pt idx="61">
                  <c:v>46175</c:v>
                </c:pt>
                <c:pt idx="62">
                  <c:v>46174</c:v>
                </c:pt>
                <c:pt idx="63">
                  <c:v>46171</c:v>
                </c:pt>
                <c:pt idx="64">
                  <c:v>46169</c:v>
                </c:pt>
                <c:pt idx="65">
                  <c:v>46168</c:v>
                </c:pt>
                <c:pt idx="66">
                  <c:v>46167</c:v>
                </c:pt>
                <c:pt idx="67">
                  <c:v>46164</c:v>
                </c:pt>
                <c:pt idx="68">
                  <c:v>46163</c:v>
                </c:pt>
                <c:pt idx="69">
                  <c:v>46162</c:v>
                </c:pt>
                <c:pt idx="70">
                  <c:v>46161</c:v>
                </c:pt>
                <c:pt idx="71">
                  <c:v>46160</c:v>
                </c:pt>
                <c:pt idx="72">
                  <c:v>46157</c:v>
                </c:pt>
                <c:pt idx="73">
                  <c:v>46156</c:v>
                </c:pt>
                <c:pt idx="74">
                  <c:v>46155</c:v>
                </c:pt>
                <c:pt idx="75">
                  <c:v>46154</c:v>
                </c:pt>
                <c:pt idx="76">
                  <c:v>46153</c:v>
                </c:pt>
                <c:pt idx="77">
                  <c:v>46150</c:v>
                </c:pt>
                <c:pt idx="78">
                  <c:v>46149</c:v>
                </c:pt>
                <c:pt idx="79">
                  <c:v>46148</c:v>
                </c:pt>
                <c:pt idx="80">
                  <c:v>46147</c:v>
                </c:pt>
                <c:pt idx="81">
                  <c:v>46146</c:v>
                </c:pt>
                <c:pt idx="82">
                  <c:v>46142</c:v>
                </c:pt>
                <c:pt idx="83">
                  <c:v>46141</c:v>
                </c:pt>
                <c:pt idx="84">
                  <c:v>46140</c:v>
                </c:pt>
                <c:pt idx="85">
                  <c:v>46139</c:v>
                </c:pt>
                <c:pt idx="86">
                  <c:v>46136</c:v>
                </c:pt>
                <c:pt idx="87">
                  <c:v>46135</c:v>
                </c:pt>
                <c:pt idx="88">
                  <c:v>46134</c:v>
                </c:pt>
                <c:pt idx="89">
                  <c:v>46133</c:v>
                </c:pt>
                <c:pt idx="90">
                  <c:v>46132</c:v>
                </c:pt>
                <c:pt idx="91">
                  <c:v>46129</c:v>
                </c:pt>
                <c:pt idx="92">
                  <c:v>46128</c:v>
                </c:pt>
                <c:pt idx="93">
                  <c:v>46127</c:v>
                </c:pt>
                <c:pt idx="94">
                  <c:v>46125</c:v>
                </c:pt>
                <c:pt idx="95">
                  <c:v>46122</c:v>
                </c:pt>
                <c:pt idx="96">
                  <c:v>46121</c:v>
                </c:pt>
                <c:pt idx="97">
                  <c:v>46120</c:v>
                </c:pt>
                <c:pt idx="98">
                  <c:v>46119</c:v>
                </c:pt>
                <c:pt idx="99">
                  <c:v>46118</c:v>
                </c:pt>
                <c:pt idx="100">
                  <c:v>46114</c:v>
                </c:pt>
                <c:pt idx="101">
                  <c:v>46113</c:v>
                </c:pt>
                <c:pt idx="102">
                  <c:v>46111</c:v>
                </c:pt>
                <c:pt idx="103">
                  <c:v>46108</c:v>
                </c:pt>
                <c:pt idx="104">
                  <c:v>46106</c:v>
                </c:pt>
                <c:pt idx="105">
                  <c:v>46105</c:v>
                </c:pt>
                <c:pt idx="106">
                  <c:v>46104</c:v>
                </c:pt>
                <c:pt idx="107">
                  <c:v>46101</c:v>
                </c:pt>
                <c:pt idx="108">
                  <c:v>46100</c:v>
                </c:pt>
                <c:pt idx="109">
                  <c:v>46099</c:v>
                </c:pt>
                <c:pt idx="110">
                  <c:v>46098</c:v>
                </c:pt>
                <c:pt idx="111">
                  <c:v>46097</c:v>
                </c:pt>
                <c:pt idx="112">
                  <c:v>46094</c:v>
                </c:pt>
                <c:pt idx="113">
                  <c:v>46093</c:v>
                </c:pt>
                <c:pt idx="114">
                  <c:v>46092</c:v>
                </c:pt>
                <c:pt idx="115">
                  <c:v>46091</c:v>
                </c:pt>
                <c:pt idx="116">
                  <c:v>46090</c:v>
                </c:pt>
                <c:pt idx="117">
                  <c:v>46087</c:v>
                </c:pt>
                <c:pt idx="118">
                  <c:v>46086</c:v>
                </c:pt>
                <c:pt idx="119">
                  <c:v>46085</c:v>
                </c:pt>
                <c:pt idx="120">
                  <c:v>46083</c:v>
                </c:pt>
                <c:pt idx="121">
                  <c:v>46080</c:v>
                </c:pt>
                <c:pt idx="122">
                  <c:v>46079</c:v>
                </c:pt>
                <c:pt idx="123">
                  <c:v>46078</c:v>
                </c:pt>
                <c:pt idx="124">
                  <c:v>46077</c:v>
                </c:pt>
                <c:pt idx="125">
                  <c:v>46076</c:v>
                </c:pt>
                <c:pt idx="126">
                  <c:v>46073</c:v>
                </c:pt>
                <c:pt idx="127">
                  <c:v>46072</c:v>
                </c:pt>
                <c:pt idx="128">
                  <c:v>46071</c:v>
                </c:pt>
                <c:pt idx="129">
                  <c:v>46070</c:v>
                </c:pt>
                <c:pt idx="130">
                  <c:v>46069</c:v>
                </c:pt>
                <c:pt idx="131">
                  <c:v>46066</c:v>
                </c:pt>
                <c:pt idx="132">
                  <c:v>46065</c:v>
                </c:pt>
                <c:pt idx="133">
                  <c:v>46064</c:v>
                </c:pt>
                <c:pt idx="134">
                  <c:v>46063</c:v>
                </c:pt>
                <c:pt idx="135">
                  <c:v>46062</c:v>
                </c:pt>
                <c:pt idx="136">
                  <c:v>46059</c:v>
                </c:pt>
                <c:pt idx="137">
                  <c:v>46058</c:v>
                </c:pt>
                <c:pt idx="138">
                  <c:v>46057</c:v>
                </c:pt>
                <c:pt idx="139">
                  <c:v>46056</c:v>
                </c:pt>
                <c:pt idx="140">
                  <c:v>46055</c:v>
                </c:pt>
                <c:pt idx="141">
                  <c:v>46054</c:v>
                </c:pt>
                <c:pt idx="142">
                  <c:v>46052</c:v>
                </c:pt>
                <c:pt idx="143">
                  <c:v>46051</c:v>
                </c:pt>
                <c:pt idx="144">
                  <c:v>46050</c:v>
                </c:pt>
                <c:pt idx="145">
                  <c:v>46049</c:v>
                </c:pt>
                <c:pt idx="146">
                  <c:v>46045</c:v>
                </c:pt>
                <c:pt idx="147">
                  <c:v>46044</c:v>
                </c:pt>
                <c:pt idx="148">
                  <c:v>46043</c:v>
                </c:pt>
                <c:pt idx="149">
                  <c:v>46042</c:v>
                </c:pt>
                <c:pt idx="150">
                  <c:v>46041</c:v>
                </c:pt>
                <c:pt idx="151">
                  <c:v>46038</c:v>
                </c:pt>
                <c:pt idx="152">
                  <c:v>46036</c:v>
                </c:pt>
                <c:pt idx="153">
                  <c:v>46035</c:v>
                </c:pt>
                <c:pt idx="154">
                  <c:v>46034</c:v>
                </c:pt>
                <c:pt idx="155">
                  <c:v>46031</c:v>
                </c:pt>
                <c:pt idx="156">
                  <c:v>46030</c:v>
                </c:pt>
                <c:pt idx="157">
                  <c:v>46029</c:v>
                </c:pt>
                <c:pt idx="158">
                  <c:v>46028</c:v>
                </c:pt>
                <c:pt idx="159">
                  <c:v>46027</c:v>
                </c:pt>
                <c:pt idx="160">
                  <c:v>46024</c:v>
                </c:pt>
                <c:pt idx="161">
                  <c:v>46023</c:v>
                </c:pt>
                <c:pt idx="162">
                  <c:v>46022</c:v>
                </c:pt>
                <c:pt idx="163">
                  <c:v>46021</c:v>
                </c:pt>
                <c:pt idx="164">
                  <c:v>46020</c:v>
                </c:pt>
                <c:pt idx="165">
                  <c:v>46017</c:v>
                </c:pt>
                <c:pt idx="166">
                  <c:v>46015</c:v>
                </c:pt>
                <c:pt idx="167">
                  <c:v>46014</c:v>
                </c:pt>
                <c:pt idx="168">
                  <c:v>46013</c:v>
                </c:pt>
                <c:pt idx="169">
                  <c:v>46010</c:v>
                </c:pt>
                <c:pt idx="170">
                  <c:v>46009</c:v>
                </c:pt>
                <c:pt idx="171">
                  <c:v>46008</c:v>
                </c:pt>
                <c:pt idx="172">
                  <c:v>46007</c:v>
                </c:pt>
                <c:pt idx="173">
                  <c:v>46006</c:v>
                </c:pt>
                <c:pt idx="174">
                  <c:v>46003</c:v>
                </c:pt>
                <c:pt idx="175">
                  <c:v>46002</c:v>
                </c:pt>
                <c:pt idx="176">
                  <c:v>46001</c:v>
                </c:pt>
                <c:pt idx="177">
                  <c:v>46000</c:v>
                </c:pt>
                <c:pt idx="178">
                  <c:v>45999</c:v>
                </c:pt>
                <c:pt idx="179">
                  <c:v>45996</c:v>
                </c:pt>
                <c:pt idx="180">
                  <c:v>45995</c:v>
                </c:pt>
                <c:pt idx="181">
                  <c:v>45994</c:v>
                </c:pt>
                <c:pt idx="182">
                  <c:v>45993</c:v>
                </c:pt>
                <c:pt idx="183">
                  <c:v>45992</c:v>
                </c:pt>
                <c:pt idx="184">
                  <c:v>45989</c:v>
                </c:pt>
                <c:pt idx="185">
                  <c:v>45988</c:v>
                </c:pt>
                <c:pt idx="186">
                  <c:v>45987</c:v>
                </c:pt>
                <c:pt idx="187">
                  <c:v>45986</c:v>
                </c:pt>
                <c:pt idx="188">
                  <c:v>45985</c:v>
                </c:pt>
                <c:pt idx="189">
                  <c:v>45982</c:v>
                </c:pt>
                <c:pt idx="190">
                  <c:v>45981</c:v>
                </c:pt>
                <c:pt idx="191">
                  <c:v>45980</c:v>
                </c:pt>
                <c:pt idx="192">
                  <c:v>45979</c:v>
                </c:pt>
                <c:pt idx="193">
                  <c:v>45978</c:v>
                </c:pt>
                <c:pt idx="194">
                  <c:v>45975</c:v>
                </c:pt>
                <c:pt idx="195">
                  <c:v>45974</c:v>
                </c:pt>
                <c:pt idx="196">
                  <c:v>45973</c:v>
                </c:pt>
                <c:pt idx="197">
                  <c:v>45972</c:v>
                </c:pt>
                <c:pt idx="198">
                  <c:v>45971</c:v>
                </c:pt>
                <c:pt idx="199">
                  <c:v>45968</c:v>
                </c:pt>
                <c:pt idx="200">
                  <c:v>45967</c:v>
                </c:pt>
                <c:pt idx="201">
                  <c:v>45965</c:v>
                </c:pt>
                <c:pt idx="202">
                  <c:v>45964</c:v>
                </c:pt>
                <c:pt idx="203">
                  <c:v>45961</c:v>
                </c:pt>
                <c:pt idx="204">
                  <c:v>45960</c:v>
                </c:pt>
                <c:pt idx="205">
                  <c:v>45959</c:v>
                </c:pt>
                <c:pt idx="206">
                  <c:v>45958</c:v>
                </c:pt>
                <c:pt idx="207">
                  <c:v>45957</c:v>
                </c:pt>
                <c:pt idx="208">
                  <c:v>45954</c:v>
                </c:pt>
                <c:pt idx="209">
                  <c:v>45953</c:v>
                </c:pt>
                <c:pt idx="210">
                  <c:v>45951</c:v>
                </c:pt>
                <c:pt idx="211">
                  <c:v>45950</c:v>
                </c:pt>
                <c:pt idx="212">
                  <c:v>45947</c:v>
                </c:pt>
                <c:pt idx="213">
                  <c:v>45946</c:v>
                </c:pt>
                <c:pt idx="214">
                  <c:v>45945</c:v>
                </c:pt>
                <c:pt idx="215">
                  <c:v>45944</c:v>
                </c:pt>
                <c:pt idx="216">
                  <c:v>45943</c:v>
                </c:pt>
                <c:pt idx="217">
                  <c:v>45940</c:v>
                </c:pt>
                <c:pt idx="218">
                  <c:v>45939</c:v>
                </c:pt>
                <c:pt idx="219">
                  <c:v>45938</c:v>
                </c:pt>
                <c:pt idx="220">
                  <c:v>45937</c:v>
                </c:pt>
                <c:pt idx="221">
                  <c:v>45936</c:v>
                </c:pt>
                <c:pt idx="222">
                  <c:v>45933</c:v>
                </c:pt>
                <c:pt idx="223">
                  <c:v>45931</c:v>
                </c:pt>
                <c:pt idx="224">
                  <c:v>45930</c:v>
                </c:pt>
                <c:pt idx="225">
                  <c:v>45929</c:v>
                </c:pt>
                <c:pt idx="226">
                  <c:v>45926</c:v>
                </c:pt>
                <c:pt idx="227">
                  <c:v>45925</c:v>
                </c:pt>
                <c:pt idx="228">
                  <c:v>45924</c:v>
                </c:pt>
                <c:pt idx="229">
                  <c:v>45923</c:v>
                </c:pt>
                <c:pt idx="230">
                  <c:v>45922</c:v>
                </c:pt>
                <c:pt idx="231">
                  <c:v>45919</c:v>
                </c:pt>
                <c:pt idx="232">
                  <c:v>45918</c:v>
                </c:pt>
                <c:pt idx="233">
                  <c:v>45917</c:v>
                </c:pt>
                <c:pt idx="234">
                  <c:v>45916</c:v>
                </c:pt>
                <c:pt idx="235">
                  <c:v>45915</c:v>
                </c:pt>
                <c:pt idx="236">
                  <c:v>45912</c:v>
                </c:pt>
                <c:pt idx="237">
                  <c:v>45911</c:v>
                </c:pt>
                <c:pt idx="238">
                  <c:v>45910</c:v>
                </c:pt>
                <c:pt idx="239">
                  <c:v>45909</c:v>
                </c:pt>
                <c:pt idx="240">
                  <c:v>45908</c:v>
                </c:pt>
                <c:pt idx="241">
                  <c:v>45905</c:v>
                </c:pt>
                <c:pt idx="242">
                  <c:v>45904</c:v>
                </c:pt>
                <c:pt idx="243">
                  <c:v>45903</c:v>
                </c:pt>
                <c:pt idx="244">
                  <c:v>45902</c:v>
                </c:pt>
                <c:pt idx="245">
                  <c:v>45901</c:v>
                </c:pt>
                <c:pt idx="246">
                  <c:v>45898</c:v>
                </c:pt>
                <c:pt idx="247">
                  <c:v>45897</c:v>
                </c:pt>
                <c:pt idx="248">
                  <c:v>45895</c:v>
                </c:pt>
                <c:pt idx="249">
                  <c:v>45894</c:v>
                </c:pt>
                <c:pt idx="250">
                  <c:v>45891</c:v>
                </c:pt>
                <c:pt idx="251">
                  <c:v>45890</c:v>
                </c:pt>
                <c:pt idx="252">
                  <c:v>45889</c:v>
                </c:pt>
                <c:pt idx="253">
                  <c:v>45888</c:v>
                </c:pt>
                <c:pt idx="254">
                  <c:v>45887</c:v>
                </c:pt>
                <c:pt idx="255">
                  <c:v>45883</c:v>
                </c:pt>
                <c:pt idx="256">
                  <c:v>45882</c:v>
                </c:pt>
                <c:pt idx="257">
                  <c:v>45881</c:v>
                </c:pt>
                <c:pt idx="258">
                  <c:v>45880</c:v>
                </c:pt>
                <c:pt idx="259">
                  <c:v>45877</c:v>
                </c:pt>
                <c:pt idx="260">
                  <c:v>45876</c:v>
                </c:pt>
                <c:pt idx="261">
                  <c:v>45875</c:v>
                </c:pt>
                <c:pt idx="262">
                  <c:v>45874</c:v>
                </c:pt>
                <c:pt idx="263">
                  <c:v>45873</c:v>
                </c:pt>
                <c:pt idx="264">
                  <c:v>45870</c:v>
                </c:pt>
                <c:pt idx="265">
                  <c:v>45869</c:v>
                </c:pt>
                <c:pt idx="266">
                  <c:v>45868</c:v>
                </c:pt>
                <c:pt idx="267">
                  <c:v>45867</c:v>
                </c:pt>
                <c:pt idx="268">
                  <c:v>45866</c:v>
                </c:pt>
                <c:pt idx="269">
                  <c:v>45863</c:v>
                </c:pt>
                <c:pt idx="270">
                  <c:v>45862</c:v>
                </c:pt>
                <c:pt idx="271">
                  <c:v>45861</c:v>
                </c:pt>
                <c:pt idx="272">
                  <c:v>45860</c:v>
                </c:pt>
                <c:pt idx="273">
                  <c:v>45859</c:v>
                </c:pt>
                <c:pt idx="274">
                  <c:v>45856</c:v>
                </c:pt>
                <c:pt idx="275">
                  <c:v>45855</c:v>
                </c:pt>
                <c:pt idx="276">
                  <c:v>45854</c:v>
                </c:pt>
                <c:pt idx="277">
                  <c:v>45853</c:v>
                </c:pt>
                <c:pt idx="278">
                  <c:v>45852</c:v>
                </c:pt>
                <c:pt idx="279">
                  <c:v>45849</c:v>
                </c:pt>
                <c:pt idx="280">
                  <c:v>45848</c:v>
                </c:pt>
                <c:pt idx="281">
                  <c:v>45847</c:v>
                </c:pt>
                <c:pt idx="282">
                  <c:v>45846</c:v>
                </c:pt>
                <c:pt idx="283">
                  <c:v>45845</c:v>
                </c:pt>
                <c:pt idx="284">
                  <c:v>45842</c:v>
                </c:pt>
                <c:pt idx="285">
                  <c:v>45841</c:v>
                </c:pt>
                <c:pt idx="286">
                  <c:v>45840</c:v>
                </c:pt>
                <c:pt idx="287">
                  <c:v>45839</c:v>
                </c:pt>
                <c:pt idx="288">
                  <c:v>45838</c:v>
                </c:pt>
                <c:pt idx="289">
                  <c:v>45835</c:v>
                </c:pt>
                <c:pt idx="290">
                  <c:v>45834</c:v>
                </c:pt>
                <c:pt idx="291">
                  <c:v>45833</c:v>
                </c:pt>
                <c:pt idx="292">
                  <c:v>45832</c:v>
                </c:pt>
                <c:pt idx="293">
                  <c:v>45831</c:v>
                </c:pt>
                <c:pt idx="294">
                  <c:v>45828</c:v>
                </c:pt>
                <c:pt idx="295">
                  <c:v>45827</c:v>
                </c:pt>
                <c:pt idx="296">
                  <c:v>45826</c:v>
                </c:pt>
                <c:pt idx="297">
                  <c:v>45825</c:v>
                </c:pt>
                <c:pt idx="298">
                  <c:v>45824</c:v>
                </c:pt>
                <c:pt idx="299">
                  <c:v>45821</c:v>
                </c:pt>
                <c:pt idx="300">
                  <c:v>45820</c:v>
                </c:pt>
                <c:pt idx="301">
                  <c:v>45819</c:v>
                </c:pt>
                <c:pt idx="302">
                  <c:v>45818</c:v>
                </c:pt>
                <c:pt idx="303">
                  <c:v>45817</c:v>
                </c:pt>
                <c:pt idx="304">
                  <c:v>45814</c:v>
                </c:pt>
                <c:pt idx="305">
                  <c:v>45813</c:v>
                </c:pt>
                <c:pt idx="306">
                  <c:v>45812</c:v>
                </c:pt>
                <c:pt idx="307">
                  <c:v>45811</c:v>
                </c:pt>
                <c:pt idx="308">
                  <c:v>45810</c:v>
                </c:pt>
                <c:pt idx="309">
                  <c:v>45807</c:v>
                </c:pt>
                <c:pt idx="310">
                  <c:v>45806</c:v>
                </c:pt>
                <c:pt idx="311">
                  <c:v>45805</c:v>
                </c:pt>
                <c:pt idx="312">
                  <c:v>45804</c:v>
                </c:pt>
                <c:pt idx="313">
                  <c:v>45803</c:v>
                </c:pt>
                <c:pt idx="314">
                  <c:v>45800</c:v>
                </c:pt>
                <c:pt idx="315">
                  <c:v>45799</c:v>
                </c:pt>
                <c:pt idx="316">
                  <c:v>45798</c:v>
                </c:pt>
                <c:pt idx="317">
                  <c:v>45797</c:v>
                </c:pt>
                <c:pt idx="318">
                  <c:v>45796</c:v>
                </c:pt>
                <c:pt idx="319">
                  <c:v>45793</c:v>
                </c:pt>
                <c:pt idx="320">
                  <c:v>45792</c:v>
                </c:pt>
                <c:pt idx="321">
                  <c:v>45791</c:v>
                </c:pt>
                <c:pt idx="322">
                  <c:v>45790</c:v>
                </c:pt>
                <c:pt idx="323">
                  <c:v>45789</c:v>
                </c:pt>
                <c:pt idx="324">
                  <c:v>45786</c:v>
                </c:pt>
                <c:pt idx="325">
                  <c:v>45785</c:v>
                </c:pt>
                <c:pt idx="326">
                  <c:v>45784</c:v>
                </c:pt>
                <c:pt idx="327">
                  <c:v>45783</c:v>
                </c:pt>
                <c:pt idx="328">
                  <c:v>45782</c:v>
                </c:pt>
                <c:pt idx="329">
                  <c:v>45779</c:v>
                </c:pt>
                <c:pt idx="330">
                  <c:v>45777</c:v>
                </c:pt>
                <c:pt idx="331">
                  <c:v>45776</c:v>
                </c:pt>
                <c:pt idx="332">
                  <c:v>45775</c:v>
                </c:pt>
                <c:pt idx="333">
                  <c:v>45772</c:v>
                </c:pt>
                <c:pt idx="334">
                  <c:v>45771</c:v>
                </c:pt>
                <c:pt idx="335">
                  <c:v>45770</c:v>
                </c:pt>
                <c:pt idx="336">
                  <c:v>45769</c:v>
                </c:pt>
                <c:pt idx="337">
                  <c:v>45768</c:v>
                </c:pt>
                <c:pt idx="338">
                  <c:v>45764</c:v>
                </c:pt>
                <c:pt idx="339">
                  <c:v>45763</c:v>
                </c:pt>
                <c:pt idx="340">
                  <c:v>45762</c:v>
                </c:pt>
                <c:pt idx="341">
                  <c:v>45758</c:v>
                </c:pt>
                <c:pt idx="342">
                  <c:v>45756</c:v>
                </c:pt>
                <c:pt idx="343">
                  <c:v>45755</c:v>
                </c:pt>
                <c:pt idx="344">
                  <c:v>45754</c:v>
                </c:pt>
                <c:pt idx="345">
                  <c:v>45751</c:v>
                </c:pt>
                <c:pt idx="346">
                  <c:v>45750</c:v>
                </c:pt>
                <c:pt idx="347">
                  <c:v>45749</c:v>
                </c:pt>
                <c:pt idx="348">
                  <c:v>45748</c:v>
                </c:pt>
                <c:pt idx="349">
                  <c:v>45744</c:v>
                </c:pt>
                <c:pt idx="350">
                  <c:v>45743</c:v>
                </c:pt>
                <c:pt idx="351">
                  <c:v>45742</c:v>
                </c:pt>
                <c:pt idx="352">
                  <c:v>45741</c:v>
                </c:pt>
                <c:pt idx="353">
                  <c:v>45740</c:v>
                </c:pt>
                <c:pt idx="354">
                  <c:v>45737</c:v>
                </c:pt>
                <c:pt idx="355">
                  <c:v>45736</c:v>
                </c:pt>
                <c:pt idx="356">
                  <c:v>45735</c:v>
                </c:pt>
                <c:pt idx="357">
                  <c:v>45734</c:v>
                </c:pt>
                <c:pt idx="358">
                  <c:v>45733</c:v>
                </c:pt>
                <c:pt idx="359">
                  <c:v>45729</c:v>
                </c:pt>
                <c:pt idx="360">
                  <c:v>45728</c:v>
                </c:pt>
                <c:pt idx="361">
                  <c:v>45727</c:v>
                </c:pt>
                <c:pt idx="362">
                  <c:v>45726</c:v>
                </c:pt>
                <c:pt idx="363">
                  <c:v>45723</c:v>
                </c:pt>
                <c:pt idx="364">
                  <c:v>45722</c:v>
                </c:pt>
                <c:pt idx="365">
                  <c:v>45721</c:v>
                </c:pt>
                <c:pt idx="366">
                  <c:v>45720</c:v>
                </c:pt>
                <c:pt idx="367">
                  <c:v>45719</c:v>
                </c:pt>
                <c:pt idx="368">
                  <c:v>45716</c:v>
                </c:pt>
                <c:pt idx="369">
                  <c:v>45715</c:v>
                </c:pt>
                <c:pt idx="370">
                  <c:v>45713</c:v>
                </c:pt>
                <c:pt idx="371">
                  <c:v>45712</c:v>
                </c:pt>
                <c:pt idx="372">
                  <c:v>45709</c:v>
                </c:pt>
                <c:pt idx="373">
                  <c:v>45708</c:v>
                </c:pt>
                <c:pt idx="374">
                  <c:v>45707</c:v>
                </c:pt>
                <c:pt idx="375">
                  <c:v>45706</c:v>
                </c:pt>
                <c:pt idx="376">
                  <c:v>45705</c:v>
                </c:pt>
                <c:pt idx="377">
                  <c:v>45702</c:v>
                </c:pt>
                <c:pt idx="378">
                  <c:v>45701</c:v>
                </c:pt>
                <c:pt idx="379">
                  <c:v>45700</c:v>
                </c:pt>
                <c:pt idx="380">
                  <c:v>45699</c:v>
                </c:pt>
                <c:pt idx="381">
                  <c:v>45698</c:v>
                </c:pt>
                <c:pt idx="382">
                  <c:v>45695</c:v>
                </c:pt>
                <c:pt idx="383">
                  <c:v>45694</c:v>
                </c:pt>
                <c:pt idx="384">
                  <c:v>45693</c:v>
                </c:pt>
                <c:pt idx="385">
                  <c:v>45692</c:v>
                </c:pt>
                <c:pt idx="386">
                  <c:v>45691</c:v>
                </c:pt>
                <c:pt idx="387">
                  <c:v>45689</c:v>
                </c:pt>
                <c:pt idx="388">
                  <c:v>45688</c:v>
                </c:pt>
                <c:pt idx="389">
                  <c:v>45687</c:v>
                </c:pt>
                <c:pt idx="390">
                  <c:v>45686</c:v>
                </c:pt>
                <c:pt idx="391">
                  <c:v>45685</c:v>
                </c:pt>
                <c:pt idx="392">
                  <c:v>45684</c:v>
                </c:pt>
                <c:pt idx="393">
                  <c:v>45681</c:v>
                </c:pt>
                <c:pt idx="394">
                  <c:v>45680</c:v>
                </c:pt>
                <c:pt idx="395">
                  <c:v>45679</c:v>
                </c:pt>
                <c:pt idx="396">
                  <c:v>45678</c:v>
                </c:pt>
                <c:pt idx="397">
                  <c:v>45677</c:v>
                </c:pt>
                <c:pt idx="398">
                  <c:v>45674</c:v>
                </c:pt>
                <c:pt idx="399">
                  <c:v>45673</c:v>
                </c:pt>
                <c:pt idx="400">
                  <c:v>45672</c:v>
                </c:pt>
                <c:pt idx="401">
                  <c:v>45671</c:v>
                </c:pt>
                <c:pt idx="402">
                  <c:v>45670</c:v>
                </c:pt>
                <c:pt idx="403">
                  <c:v>45667</c:v>
                </c:pt>
                <c:pt idx="404">
                  <c:v>45666</c:v>
                </c:pt>
                <c:pt idx="405">
                  <c:v>45665</c:v>
                </c:pt>
                <c:pt idx="406">
                  <c:v>45664</c:v>
                </c:pt>
                <c:pt idx="407">
                  <c:v>45663</c:v>
                </c:pt>
                <c:pt idx="408">
                  <c:v>45660</c:v>
                </c:pt>
                <c:pt idx="409">
                  <c:v>45659</c:v>
                </c:pt>
                <c:pt idx="410">
                  <c:v>45658</c:v>
                </c:pt>
                <c:pt idx="411">
                  <c:v>45657</c:v>
                </c:pt>
                <c:pt idx="412">
                  <c:v>45656</c:v>
                </c:pt>
                <c:pt idx="413">
                  <c:v>45653</c:v>
                </c:pt>
                <c:pt idx="414">
                  <c:v>45652</c:v>
                </c:pt>
                <c:pt idx="415">
                  <c:v>45650</c:v>
                </c:pt>
                <c:pt idx="416">
                  <c:v>45649</c:v>
                </c:pt>
                <c:pt idx="417">
                  <c:v>45646</c:v>
                </c:pt>
                <c:pt idx="418">
                  <c:v>45645</c:v>
                </c:pt>
                <c:pt idx="419">
                  <c:v>45644</c:v>
                </c:pt>
                <c:pt idx="420">
                  <c:v>45643</c:v>
                </c:pt>
                <c:pt idx="421">
                  <c:v>45642</c:v>
                </c:pt>
                <c:pt idx="422">
                  <c:v>45639</c:v>
                </c:pt>
                <c:pt idx="423">
                  <c:v>45638</c:v>
                </c:pt>
                <c:pt idx="424">
                  <c:v>45637</c:v>
                </c:pt>
                <c:pt idx="425">
                  <c:v>45636</c:v>
                </c:pt>
                <c:pt idx="426">
                  <c:v>45635</c:v>
                </c:pt>
                <c:pt idx="427">
                  <c:v>45632</c:v>
                </c:pt>
                <c:pt idx="428">
                  <c:v>45631</c:v>
                </c:pt>
                <c:pt idx="429">
                  <c:v>45630</c:v>
                </c:pt>
                <c:pt idx="430">
                  <c:v>45629</c:v>
                </c:pt>
                <c:pt idx="431">
                  <c:v>45628</c:v>
                </c:pt>
                <c:pt idx="432">
                  <c:v>45625</c:v>
                </c:pt>
                <c:pt idx="433">
                  <c:v>45624</c:v>
                </c:pt>
                <c:pt idx="434">
                  <c:v>45623</c:v>
                </c:pt>
                <c:pt idx="435">
                  <c:v>45622</c:v>
                </c:pt>
                <c:pt idx="436">
                  <c:v>45621</c:v>
                </c:pt>
                <c:pt idx="437">
                  <c:v>45618</c:v>
                </c:pt>
                <c:pt idx="438">
                  <c:v>45617</c:v>
                </c:pt>
                <c:pt idx="439">
                  <c:v>45615</c:v>
                </c:pt>
                <c:pt idx="440">
                  <c:v>45614</c:v>
                </c:pt>
                <c:pt idx="441">
                  <c:v>45610</c:v>
                </c:pt>
                <c:pt idx="442">
                  <c:v>45609</c:v>
                </c:pt>
                <c:pt idx="443">
                  <c:v>45608</c:v>
                </c:pt>
                <c:pt idx="444">
                  <c:v>45607</c:v>
                </c:pt>
                <c:pt idx="445">
                  <c:v>45604</c:v>
                </c:pt>
                <c:pt idx="446">
                  <c:v>45603</c:v>
                </c:pt>
                <c:pt idx="447">
                  <c:v>45602</c:v>
                </c:pt>
                <c:pt idx="448">
                  <c:v>45601</c:v>
                </c:pt>
                <c:pt idx="449">
                  <c:v>45600</c:v>
                </c:pt>
                <c:pt idx="450">
                  <c:v>45597</c:v>
                </c:pt>
                <c:pt idx="451">
                  <c:v>45596</c:v>
                </c:pt>
                <c:pt idx="452">
                  <c:v>45595</c:v>
                </c:pt>
                <c:pt idx="453">
                  <c:v>45594</c:v>
                </c:pt>
                <c:pt idx="454">
                  <c:v>45593</c:v>
                </c:pt>
                <c:pt idx="455">
                  <c:v>45590</c:v>
                </c:pt>
                <c:pt idx="456">
                  <c:v>45589</c:v>
                </c:pt>
                <c:pt idx="457">
                  <c:v>45588</c:v>
                </c:pt>
                <c:pt idx="458">
                  <c:v>45587</c:v>
                </c:pt>
                <c:pt idx="459">
                  <c:v>45586</c:v>
                </c:pt>
                <c:pt idx="460">
                  <c:v>45583</c:v>
                </c:pt>
                <c:pt idx="461">
                  <c:v>45582</c:v>
                </c:pt>
                <c:pt idx="462">
                  <c:v>45581</c:v>
                </c:pt>
                <c:pt idx="463">
                  <c:v>45580</c:v>
                </c:pt>
                <c:pt idx="464">
                  <c:v>45579</c:v>
                </c:pt>
                <c:pt idx="465">
                  <c:v>45576</c:v>
                </c:pt>
                <c:pt idx="466">
                  <c:v>45575</c:v>
                </c:pt>
                <c:pt idx="467">
                  <c:v>45574</c:v>
                </c:pt>
                <c:pt idx="468">
                  <c:v>45573</c:v>
                </c:pt>
                <c:pt idx="469">
                  <c:v>45572</c:v>
                </c:pt>
                <c:pt idx="470">
                  <c:v>45569</c:v>
                </c:pt>
                <c:pt idx="471">
                  <c:v>45568</c:v>
                </c:pt>
                <c:pt idx="472">
                  <c:v>45566</c:v>
                </c:pt>
                <c:pt idx="473">
                  <c:v>45565</c:v>
                </c:pt>
                <c:pt idx="474">
                  <c:v>45562</c:v>
                </c:pt>
                <c:pt idx="475">
                  <c:v>45561</c:v>
                </c:pt>
                <c:pt idx="476">
                  <c:v>45560</c:v>
                </c:pt>
                <c:pt idx="477">
                  <c:v>45559</c:v>
                </c:pt>
                <c:pt idx="478">
                  <c:v>45558</c:v>
                </c:pt>
                <c:pt idx="479">
                  <c:v>45555</c:v>
                </c:pt>
                <c:pt idx="480">
                  <c:v>45554</c:v>
                </c:pt>
                <c:pt idx="481">
                  <c:v>45553</c:v>
                </c:pt>
                <c:pt idx="482">
                  <c:v>45552</c:v>
                </c:pt>
                <c:pt idx="483">
                  <c:v>45551</c:v>
                </c:pt>
                <c:pt idx="484">
                  <c:v>45548</c:v>
                </c:pt>
                <c:pt idx="485">
                  <c:v>45547</c:v>
                </c:pt>
                <c:pt idx="486">
                  <c:v>45546</c:v>
                </c:pt>
                <c:pt idx="487">
                  <c:v>45545</c:v>
                </c:pt>
                <c:pt idx="488">
                  <c:v>45544</c:v>
                </c:pt>
                <c:pt idx="489">
                  <c:v>45541</c:v>
                </c:pt>
                <c:pt idx="490">
                  <c:v>45540</c:v>
                </c:pt>
                <c:pt idx="491">
                  <c:v>45539</c:v>
                </c:pt>
                <c:pt idx="492">
                  <c:v>45538</c:v>
                </c:pt>
                <c:pt idx="493">
                  <c:v>45537</c:v>
                </c:pt>
                <c:pt idx="494">
                  <c:v>45534</c:v>
                </c:pt>
                <c:pt idx="495">
                  <c:v>45533</c:v>
                </c:pt>
                <c:pt idx="496">
                  <c:v>45532</c:v>
                </c:pt>
                <c:pt idx="497">
                  <c:v>45531</c:v>
                </c:pt>
                <c:pt idx="498">
                  <c:v>45530</c:v>
                </c:pt>
                <c:pt idx="499">
                  <c:v>45527</c:v>
                </c:pt>
                <c:pt idx="500">
                  <c:v>45526</c:v>
                </c:pt>
                <c:pt idx="501">
                  <c:v>45525</c:v>
                </c:pt>
                <c:pt idx="502">
                  <c:v>45524</c:v>
                </c:pt>
                <c:pt idx="503">
                  <c:v>45523</c:v>
                </c:pt>
                <c:pt idx="504">
                  <c:v>45520</c:v>
                </c:pt>
                <c:pt idx="505">
                  <c:v>45518</c:v>
                </c:pt>
                <c:pt idx="506">
                  <c:v>45517</c:v>
                </c:pt>
                <c:pt idx="507">
                  <c:v>45516</c:v>
                </c:pt>
                <c:pt idx="508">
                  <c:v>45513</c:v>
                </c:pt>
                <c:pt idx="509">
                  <c:v>45512</c:v>
                </c:pt>
                <c:pt idx="510">
                  <c:v>45511</c:v>
                </c:pt>
                <c:pt idx="511">
                  <c:v>45510</c:v>
                </c:pt>
                <c:pt idx="512">
                  <c:v>45509</c:v>
                </c:pt>
                <c:pt idx="513">
                  <c:v>45506</c:v>
                </c:pt>
                <c:pt idx="514">
                  <c:v>45505</c:v>
                </c:pt>
                <c:pt idx="515">
                  <c:v>45504</c:v>
                </c:pt>
                <c:pt idx="516">
                  <c:v>45503</c:v>
                </c:pt>
                <c:pt idx="517">
                  <c:v>45502</c:v>
                </c:pt>
                <c:pt idx="518">
                  <c:v>45499</c:v>
                </c:pt>
                <c:pt idx="519">
                  <c:v>45498</c:v>
                </c:pt>
                <c:pt idx="520">
                  <c:v>45497</c:v>
                </c:pt>
                <c:pt idx="521">
                  <c:v>45496</c:v>
                </c:pt>
                <c:pt idx="522">
                  <c:v>45495</c:v>
                </c:pt>
                <c:pt idx="523">
                  <c:v>45492</c:v>
                </c:pt>
                <c:pt idx="524">
                  <c:v>45491</c:v>
                </c:pt>
                <c:pt idx="525">
                  <c:v>45489</c:v>
                </c:pt>
                <c:pt idx="526">
                  <c:v>45488</c:v>
                </c:pt>
                <c:pt idx="527">
                  <c:v>45485</c:v>
                </c:pt>
                <c:pt idx="528">
                  <c:v>45484</c:v>
                </c:pt>
                <c:pt idx="529">
                  <c:v>45483</c:v>
                </c:pt>
                <c:pt idx="530">
                  <c:v>45482</c:v>
                </c:pt>
                <c:pt idx="531">
                  <c:v>45481</c:v>
                </c:pt>
                <c:pt idx="532">
                  <c:v>45478</c:v>
                </c:pt>
                <c:pt idx="533">
                  <c:v>45477</c:v>
                </c:pt>
                <c:pt idx="534">
                  <c:v>45476</c:v>
                </c:pt>
                <c:pt idx="535">
                  <c:v>45475</c:v>
                </c:pt>
                <c:pt idx="536">
                  <c:v>45474</c:v>
                </c:pt>
                <c:pt idx="537">
                  <c:v>45471</c:v>
                </c:pt>
                <c:pt idx="538">
                  <c:v>45470</c:v>
                </c:pt>
                <c:pt idx="539">
                  <c:v>45469</c:v>
                </c:pt>
                <c:pt idx="540">
                  <c:v>45468</c:v>
                </c:pt>
                <c:pt idx="541">
                  <c:v>45467</c:v>
                </c:pt>
                <c:pt idx="542">
                  <c:v>45464</c:v>
                </c:pt>
                <c:pt idx="543">
                  <c:v>45463</c:v>
                </c:pt>
                <c:pt idx="544">
                  <c:v>45462</c:v>
                </c:pt>
                <c:pt idx="545">
                  <c:v>45461</c:v>
                </c:pt>
                <c:pt idx="546">
                  <c:v>45457</c:v>
                </c:pt>
                <c:pt idx="547">
                  <c:v>45456</c:v>
                </c:pt>
                <c:pt idx="548">
                  <c:v>45455</c:v>
                </c:pt>
                <c:pt idx="549">
                  <c:v>45454</c:v>
                </c:pt>
                <c:pt idx="550">
                  <c:v>45453</c:v>
                </c:pt>
                <c:pt idx="551">
                  <c:v>45450</c:v>
                </c:pt>
                <c:pt idx="552">
                  <c:v>45449</c:v>
                </c:pt>
                <c:pt idx="553">
                  <c:v>45448</c:v>
                </c:pt>
                <c:pt idx="554">
                  <c:v>45447</c:v>
                </c:pt>
                <c:pt idx="555">
                  <c:v>45446</c:v>
                </c:pt>
                <c:pt idx="556">
                  <c:v>45443</c:v>
                </c:pt>
                <c:pt idx="557">
                  <c:v>45442</c:v>
                </c:pt>
                <c:pt idx="558">
                  <c:v>45441</c:v>
                </c:pt>
                <c:pt idx="559">
                  <c:v>45440</c:v>
                </c:pt>
                <c:pt idx="560">
                  <c:v>45439</c:v>
                </c:pt>
                <c:pt idx="561">
                  <c:v>45436</c:v>
                </c:pt>
                <c:pt idx="562">
                  <c:v>45435</c:v>
                </c:pt>
                <c:pt idx="563">
                  <c:v>45434</c:v>
                </c:pt>
                <c:pt idx="564">
                  <c:v>45433</c:v>
                </c:pt>
                <c:pt idx="565">
                  <c:v>45430</c:v>
                </c:pt>
                <c:pt idx="566">
                  <c:v>45429</c:v>
                </c:pt>
                <c:pt idx="567">
                  <c:v>45428</c:v>
                </c:pt>
                <c:pt idx="568">
                  <c:v>45427</c:v>
                </c:pt>
                <c:pt idx="569">
                  <c:v>45426</c:v>
                </c:pt>
                <c:pt idx="570">
                  <c:v>45425</c:v>
                </c:pt>
                <c:pt idx="571">
                  <c:v>45422</c:v>
                </c:pt>
                <c:pt idx="572">
                  <c:v>45421</c:v>
                </c:pt>
                <c:pt idx="573">
                  <c:v>45420</c:v>
                </c:pt>
                <c:pt idx="574">
                  <c:v>45419</c:v>
                </c:pt>
                <c:pt idx="575">
                  <c:v>45418</c:v>
                </c:pt>
                <c:pt idx="576">
                  <c:v>45415</c:v>
                </c:pt>
                <c:pt idx="577">
                  <c:v>45414</c:v>
                </c:pt>
                <c:pt idx="578">
                  <c:v>45412</c:v>
                </c:pt>
                <c:pt idx="579">
                  <c:v>45411</c:v>
                </c:pt>
                <c:pt idx="580">
                  <c:v>45408</c:v>
                </c:pt>
                <c:pt idx="581">
                  <c:v>45407</c:v>
                </c:pt>
                <c:pt idx="582">
                  <c:v>45406</c:v>
                </c:pt>
                <c:pt idx="583">
                  <c:v>45405</c:v>
                </c:pt>
                <c:pt idx="584">
                  <c:v>45404</c:v>
                </c:pt>
                <c:pt idx="585">
                  <c:v>45401</c:v>
                </c:pt>
                <c:pt idx="586">
                  <c:v>45400</c:v>
                </c:pt>
                <c:pt idx="587">
                  <c:v>45398</c:v>
                </c:pt>
                <c:pt idx="588">
                  <c:v>45397</c:v>
                </c:pt>
                <c:pt idx="589">
                  <c:v>45394</c:v>
                </c:pt>
                <c:pt idx="590">
                  <c:v>45392</c:v>
                </c:pt>
                <c:pt idx="591">
                  <c:v>45391</c:v>
                </c:pt>
                <c:pt idx="592">
                  <c:v>45390</c:v>
                </c:pt>
                <c:pt idx="593">
                  <c:v>45387</c:v>
                </c:pt>
                <c:pt idx="594">
                  <c:v>45386</c:v>
                </c:pt>
                <c:pt idx="595">
                  <c:v>45385</c:v>
                </c:pt>
                <c:pt idx="596">
                  <c:v>45384</c:v>
                </c:pt>
                <c:pt idx="597">
                  <c:v>45383</c:v>
                </c:pt>
                <c:pt idx="598">
                  <c:v>45379</c:v>
                </c:pt>
                <c:pt idx="599">
                  <c:v>45378</c:v>
                </c:pt>
                <c:pt idx="600">
                  <c:v>45377</c:v>
                </c:pt>
                <c:pt idx="601">
                  <c:v>45373</c:v>
                </c:pt>
                <c:pt idx="602">
                  <c:v>45372</c:v>
                </c:pt>
                <c:pt idx="603">
                  <c:v>45371</c:v>
                </c:pt>
                <c:pt idx="604">
                  <c:v>45370</c:v>
                </c:pt>
                <c:pt idx="605">
                  <c:v>45369</c:v>
                </c:pt>
                <c:pt idx="606">
                  <c:v>45366</c:v>
                </c:pt>
                <c:pt idx="607">
                  <c:v>45365</c:v>
                </c:pt>
                <c:pt idx="608">
                  <c:v>45364</c:v>
                </c:pt>
                <c:pt idx="609">
                  <c:v>45363</c:v>
                </c:pt>
                <c:pt idx="610">
                  <c:v>45362</c:v>
                </c:pt>
                <c:pt idx="611">
                  <c:v>45358</c:v>
                </c:pt>
                <c:pt idx="612">
                  <c:v>45357</c:v>
                </c:pt>
                <c:pt idx="613">
                  <c:v>45356</c:v>
                </c:pt>
                <c:pt idx="614">
                  <c:v>45355</c:v>
                </c:pt>
                <c:pt idx="615">
                  <c:v>45353</c:v>
                </c:pt>
                <c:pt idx="616">
                  <c:v>45352</c:v>
                </c:pt>
                <c:pt idx="617">
                  <c:v>45351</c:v>
                </c:pt>
                <c:pt idx="618">
                  <c:v>45350</c:v>
                </c:pt>
                <c:pt idx="619">
                  <c:v>45349</c:v>
                </c:pt>
                <c:pt idx="620">
                  <c:v>45348</c:v>
                </c:pt>
                <c:pt idx="621">
                  <c:v>45345</c:v>
                </c:pt>
                <c:pt idx="622">
                  <c:v>45344</c:v>
                </c:pt>
                <c:pt idx="623">
                  <c:v>45343</c:v>
                </c:pt>
                <c:pt idx="624">
                  <c:v>45342</c:v>
                </c:pt>
                <c:pt idx="625">
                  <c:v>45341</c:v>
                </c:pt>
                <c:pt idx="626">
                  <c:v>45338</c:v>
                </c:pt>
                <c:pt idx="627">
                  <c:v>45337</c:v>
                </c:pt>
                <c:pt idx="628">
                  <c:v>45336</c:v>
                </c:pt>
                <c:pt idx="629">
                  <c:v>45335</c:v>
                </c:pt>
                <c:pt idx="630">
                  <c:v>45334</c:v>
                </c:pt>
                <c:pt idx="631">
                  <c:v>45331</c:v>
                </c:pt>
                <c:pt idx="632">
                  <c:v>45330</c:v>
                </c:pt>
                <c:pt idx="633">
                  <c:v>45329</c:v>
                </c:pt>
                <c:pt idx="634">
                  <c:v>45328</c:v>
                </c:pt>
                <c:pt idx="635">
                  <c:v>45327</c:v>
                </c:pt>
                <c:pt idx="636">
                  <c:v>45324</c:v>
                </c:pt>
                <c:pt idx="637">
                  <c:v>45323</c:v>
                </c:pt>
                <c:pt idx="638">
                  <c:v>45322</c:v>
                </c:pt>
                <c:pt idx="639">
                  <c:v>45321</c:v>
                </c:pt>
                <c:pt idx="640">
                  <c:v>45320</c:v>
                </c:pt>
                <c:pt idx="641">
                  <c:v>45316</c:v>
                </c:pt>
                <c:pt idx="642">
                  <c:v>45315</c:v>
                </c:pt>
                <c:pt idx="643">
                  <c:v>45314</c:v>
                </c:pt>
                <c:pt idx="644">
                  <c:v>45311</c:v>
                </c:pt>
                <c:pt idx="645">
                  <c:v>45310</c:v>
                </c:pt>
                <c:pt idx="646">
                  <c:v>45309</c:v>
                </c:pt>
                <c:pt idx="647">
                  <c:v>45308</c:v>
                </c:pt>
                <c:pt idx="648">
                  <c:v>45307</c:v>
                </c:pt>
                <c:pt idx="649">
                  <c:v>45306</c:v>
                </c:pt>
                <c:pt idx="650">
                  <c:v>45303</c:v>
                </c:pt>
                <c:pt idx="651">
                  <c:v>45302</c:v>
                </c:pt>
                <c:pt idx="652">
                  <c:v>45301</c:v>
                </c:pt>
                <c:pt idx="653">
                  <c:v>45300</c:v>
                </c:pt>
                <c:pt idx="654">
                  <c:v>45299</c:v>
                </c:pt>
                <c:pt idx="655">
                  <c:v>45296</c:v>
                </c:pt>
                <c:pt idx="656">
                  <c:v>45295</c:v>
                </c:pt>
                <c:pt idx="657">
                  <c:v>45294</c:v>
                </c:pt>
                <c:pt idx="658">
                  <c:v>45293</c:v>
                </c:pt>
                <c:pt idx="659">
                  <c:v>45292</c:v>
                </c:pt>
                <c:pt idx="660">
                  <c:v>45289</c:v>
                </c:pt>
                <c:pt idx="661">
                  <c:v>45288</c:v>
                </c:pt>
                <c:pt idx="662">
                  <c:v>45287</c:v>
                </c:pt>
                <c:pt idx="663">
                  <c:v>45286</c:v>
                </c:pt>
                <c:pt idx="664">
                  <c:v>45282</c:v>
                </c:pt>
                <c:pt idx="665">
                  <c:v>45281</c:v>
                </c:pt>
                <c:pt idx="666">
                  <c:v>45280</c:v>
                </c:pt>
                <c:pt idx="667">
                  <c:v>45279</c:v>
                </c:pt>
                <c:pt idx="668">
                  <c:v>45278</c:v>
                </c:pt>
                <c:pt idx="669">
                  <c:v>45275</c:v>
                </c:pt>
                <c:pt idx="670">
                  <c:v>45274</c:v>
                </c:pt>
                <c:pt idx="671">
                  <c:v>45273</c:v>
                </c:pt>
                <c:pt idx="672">
                  <c:v>45272</c:v>
                </c:pt>
                <c:pt idx="673">
                  <c:v>45271</c:v>
                </c:pt>
                <c:pt idx="674">
                  <c:v>45268</c:v>
                </c:pt>
                <c:pt idx="675">
                  <c:v>45267</c:v>
                </c:pt>
                <c:pt idx="676">
                  <c:v>45266</c:v>
                </c:pt>
                <c:pt idx="677">
                  <c:v>45265</c:v>
                </c:pt>
                <c:pt idx="678">
                  <c:v>45264</c:v>
                </c:pt>
                <c:pt idx="679">
                  <c:v>45261</c:v>
                </c:pt>
                <c:pt idx="680">
                  <c:v>45260</c:v>
                </c:pt>
                <c:pt idx="681">
                  <c:v>45259</c:v>
                </c:pt>
                <c:pt idx="682">
                  <c:v>45258</c:v>
                </c:pt>
                <c:pt idx="683">
                  <c:v>45254</c:v>
                </c:pt>
                <c:pt idx="684">
                  <c:v>45253</c:v>
                </c:pt>
                <c:pt idx="685">
                  <c:v>45252</c:v>
                </c:pt>
                <c:pt idx="686">
                  <c:v>45251</c:v>
                </c:pt>
                <c:pt idx="687">
                  <c:v>45250</c:v>
                </c:pt>
                <c:pt idx="688">
                  <c:v>45247</c:v>
                </c:pt>
                <c:pt idx="689">
                  <c:v>45246</c:v>
                </c:pt>
                <c:pt idx="690">
                  <c:v>45245</c:v>
                </c:pt>
                <c:pt idx="691">
                  <c:v>45243</c:v>
                </c:pt>
                <c:pt idx="692">
                  <c:v>45242</c:v>
                </c:pt>
                <c:pt idx="693">
                  <c:v>45240</c:v>
                </c:pt>
                <c:pt idx="694">
                  <c:v>45239</c:v>
                </c:pt>
                <c:pt idx="695">
                  <c:v>45238</c:v>
                </c:pt>
                <c:pt idx="696">
                  <c:v>45237</c:v>
                </c:pt>
                <c:pt idx="697">
                  <c:v>45236</c:v>
                </c:pt>
                <c:pt idx="698">
                  <c:v>45233</c:v>
                </c:pt>
                <c:pt idx="699">
                  <c:v>45232</c:v>
                </c:pt>
                <c:pt idx="700">
                  <c:v>45231</c:v>
                </c:pt>
                <c:pt idx="701">
                  <c:v>45230</c:v>
                </c:pt>
                <c:pt idx="702">
                  <c:v>45229</c:v>
                </c:pt>
                <c:pt idx="703">
                  <c:v>45226</c:v>
                </c:pt>
                <c:pt idx="704">
                  <c:v>45225</c:v>
                </c:pt>
                <c:pt idx="705">
                  <c:v>45224</c:v>
                </c:pt>
                <c:pt idx="706">
                  <c:v>45222</c:v>
                </c:pt>
                <c:pt idx="707">
                  <c:v>45219</c:v>
                </c:pt>
                <c:pt idx="708">
                  <c:v>45218</c:v>
                </c:pt>
                <c:pt idx="709">
                  <c:v>45217</c:v>
                </c:pt>
                <c:pt idx="710">
                  <c:v>45216</c:v>
                </c:pt>
                <c:pt idx="711">
                  <c:v>45215</c:v>
                </c:pt>
                <c:pt idx="712">
                  <c:v>45212</c:v>
                </c:pt>
                <c:pt idx="713">
                  <c:v>45211</c:v>
                </c:pt>
                <c:pt idx="714">
                  <c:v>45210</c:v>
                </c:pt>
                <c:pt idx="715">
                  <c:v>45209</c:v>
                </c:pt>
                <c:pt idx="716">
                  <c:v>45208</c:v>
                </c:pt>
                <c:pt idx="717">
                  <c:v>45205</c:v>
                </c:pt>
                <c:pt idx="718">
                  <c:v>45204</c:v>
                </c:pt>
                <c:pt idx="719">
                  <c:v>45203</c:v>
                </c:pt>
                <c:pt idx="720">
                  <c:v>45202</c:v>
                </c:pt>
                <c:pt idx="721">
                  <c:v>45198</c:v>
                </c:pt>
                <c:pt idx="722">
                  <c:v>45197</c:v>
                </c:pt>
                <c:pt idx="723">
                  <c:v>45196</c:v>
                </c:pt>
                <c:pt idx="724">
                  <c:v>45195</c:v>
                </c:pt>
                <c:pt idx="725">
                  <c:v>45194</c:v>
                </c:pt>
                <c:pt idx="726">
                  <c:v>45191</c:v>
                </c:pt>
                <c:pt idx="727">
                  <c:v>45190</c:v>
                </c:pt>
                <c:pt idx="728">
                  <c:v>45189</c:v>
                </c:pt>
                <c:pt idx="729">
                  <c:v>45187</c:v>
                </c:pt>
                <c:pt idx="730">
                  <c:v>45184</c:v>
                </c:pt>
                <c:pt idx="731">
                  <c:v>45183</c:v>
                </c:pt>
                <c:pt idx="732">
                  <c:v>45182</c:v>
                </c:pt>
                <c:pt idx="733">
                  <c:v>45181</c:v>
                </c:pt>
                <c:pt idx="734">
                  <c:v>45180</c:v>
                </c:pt>
                <c:pt idx="735">
                  <c:v>45177</c:v>
                </c:pt>
                <c:pt idx="736">
                  <c:v>45176</c:v>
                </c:pt>
                <c:pt idx="737">
                  <c:v>45175</c:v>
                </c:pt>
                <c:pt idx="738">
                  <c:v>45174</c:v>
                </c:pt>
                <c:pt idx="739">
                  <c:v>45173</c:v>
                </c:pt>
                <c:pt idx="740">
                  <c:v>45170</c:v>
                </c:pt>
                <c:pt idx="741">
                  <c:v>45169</c:v>
                </c:pt>
                <c:pt idx="742">
                  <c:v>45168</c:v>
                </c:pt>
                <c:pt idx="743">
                  <c:v>45167</c:v>
                </c:pt>
                <c:pt idx="744">
                  <c:v>45166</c:v>
                </c:pt>
                <c:pt idx="745">
                  <c:v>45163</c:v>
                </c:pt>
                <c:pt idx="746">
                  <c:v>45162</c:v>
                </c:pt>
                <c:pt idx="747">
                  <c:v>45161</c:v>
                </c:pt>
                <c:pt idx="748">
                  <c:v>45160</c:v>
                </c:pt>
                <c:pt idx="749">
                  <c:v>45159</c:v>
                </c:pt>
                <c:pt idx="750">
                  <c:v>45156</c:v>
                </c:pt>
                <c:pt idx="751">
                  <c:v>45155</c:v>
                </c:pt>
                <c:pt idx="752">
                  <c:v>45154</c:v>
                </c:pt>
                <c:pt idx="753">
                  <c:v>45152</c:v>
                </c:pt>
                <c:pt idx="754">
                  <c:v>45149</c:v>
                </c:pt>
                <c:pt idx="755">
                  <c:v>45148</c:v>
                </c:pt>
                <c:pt idx="756">
                  <c:v>45147</c:v>
                </c:pt>
                <c:pt idx="757">
                  <c:v>45146</c:v>
                </c:pt>
                <c:pt idx="758">
                  <c:v>45145</c:v>
                </c:pt>
                <c:pt idx="759">
                  <c:v>45142</c:v>
                </c:pt>
                <c:pt idx="760">
                  <c:v>45141</c:v>
                </c:pt>
                <c:pt idx="761">
                  <c:v>45140</c:v>
                </c:pt>
                <c:pt idx="762">
                  <c:v>45139</c:v>
                </c:pt>
                <c:pt idx="763">
                  <c:v>45138</c:v>
                </c:pt>
                <c:pt idx="764">
                  <c:v>45135</c:v>
                </c:pt>
                <c:pt idx="765">
                  <c:v>45134</c:v>
                </c:pt>
                <c:pt idx="766">
                  <c:v>45133</c:v>
                </c:pt>
                <c:pt idx="767">
                  <c:v>45132</c:v>
                </c:pt>
                <c:pt idx="768">
                  <c:v>45131</c:v>
                </c:pt>
                <c:pt idx="769">
                  <c:v>45128</c:v>
                </c:pt>
                <c:pt idx="770">
                  <c:v>45127</c:v>
                </c:pt>
                <c:pt idx="771">
                  <c:v>45126</c:v>
                </c:pt>
                <c:pt idx="772">
                  <c:v>45125</c:v>
                </c:pt>
                <c:pt idx="773">
                  <c:v>45124</c:v>
                </c:pt>
                <c:pt idx="774">
                  <c:v>45121</c:v>
                </c:pt>
                <c:pt idx="775">
                  <c:v>45120</c:v>
                </c:pt>
                <c:pt idx="776">
                  <c:v>45119</c:v>
                </c:pt>
                <c:pt idx="777">
                  <c:v>45118</c:v>
                </c:pt>
                <c:pt idx="778">
                  <c:v>45117</c:v>
                </c:pt>
                <c:pt idx="779">
                  <c:v>45114</c:v>
                </c:pt>
                <c:pt idx="780">
                  <c:v>45113</c:v>
                </c:pt>
                <c:pt idx="781">
                  <c:v>45112</c:v>
                </c:pt>
                <c:pt idx="782">
                  <c:v>45111</c:v>
                </c:pt>
                <c:pt idx="783">
                  <c:v>45110</c:v>
                </c:pt>
                <c:pt idx="784">
                  <c:v>45107</c:v>
                </c:pt>
                <c:pt idx="785">
                  <c:v>45105</c:v>
                </c:pt>
                <c:pt idx="786">
                  <c:v>45104</c:v>
                </c:pt>
                <c:pt idx="787">
                  <c:v>45103</c:v>
                </c:pt>
                <c:pt idx="788">
                  <c:v>45100</c:v>
                </c:pt>
                <c:pt idx="789">
                  <c:v>45099</c:v>
                </c:pt>
                <c:pt idx="790">
                  <c:v>45098</c:v>
                </c:pt>
                <c:pt idx="791">
                  <c:v>45097</c:v>
                </c:pt>
                <c:pt idx="792">
                  <c:v>45096</c:v>
                </c:pt>
                <c:pt idx="793">
                  <c:v>45093</c:v>
                </c:pt>
                <c:pt idx="794">
                  <c:v>45092</c:v>
                </c:pt>
                <c:pt idx="795">
                  <c:v>45091</c:v>
                </c:pt>
                <c:pt idx="796">
                  <c:v>45090</c:v>
                </c:pt>
                <c:pt idx="797">
                  <c:v>45089</c:v>
                </c:pt>
                <c:pt idx="798">
                  <c:v>45086</c:v>
                </c:pt>
                <c:pt idx="799">
                  <c:v>45085</c:v>
                </c:pt>
                <c:pt idx="800">
                  <c:v>45084</c:v>
                </c:pt>
                <c:pt idx="801">
                  <c:v>45083</c:v>
                </c:pt>
                <c:pt idx="802">
                  <c:v>45082</c:v>
                </c:pt>
                <c:pt idx="803">
                  <c:v>45079</c:v>
                </c:pt>
                <c:pt idx="804">
                  <c:v>45078</c:v>
                </c:pt>
                <c:pt idx="805">
                  <c:v>45077</c:v>
                </c:pt>
                <c:pt idx="806">
                  <c:v>45076</c:v>
                </c:pt>
                <c:pt idx="807">
                  <c:v>45075</c:v>
                </c:pt>
                <c:pt idx="808">
                  <c:v>45072</c:v>
                </c:pt>
                <c:pt idx="809">
                  <c:v>45071</c:v>
                </c:pt>
                <c:pt idx="810">
                  <c:v>45070</c:v>
                </c:pt>
                <c:pt idx="811">
                  <c:v>45069</c:v>
                </c:pt>
                <c:pt idx="812">
                  <c:v>45068</c:v>
                </c:pt>
                <c:pt idx="813">
                  <c:v>45065</c:v>
                </c:pt>
                <c:pt idx="814">
                  <c:v>45064</c:v>
                </c:pt>
                <c:pt idx="815">
                  <c:v>45063</c:v>
                </c:pt>
                <c:pt idx="816">
                  <c:v>45062</c:v>
                </c:pt>
                <c:pt idx="817">
                  <c:v>45061</c:v>
                </c:pt>
                <c:pt idx="818">
                  <c:v>45058</c:v>
                </c:pt>
                <c:pt idx="819">
                  <c:v>45057</c:v>
                </c:pt>
                <c:pt idx="820">
                  <c:v>45056</c:v>
                </c:pt>
                <c:pt idx="821">
                  <c:v>45055</c:v>
                </c:pt>
                <c:pt idx="822">
                  <c:v>45054</c:v>
                </c:pt>
                <c:pt idx="823">
                  <c:v>45051</c:v>
                </c:pt>
                <c:pt idx="824">
                  <c:v>45050</c:v>
                </c:pt>
                <c:pt idx="825">
                  <c:v>45049</c:v>
                </c:pt>
                <c:pt idx="826">
                  <c:v>45048</c:v>
                </c:pt>
                <c:pt idx="827">
                  <c:v>45044</c:v>
                </c:pt>
                <c:pt idx="828">
                  <c:v>45043</c:v>
                </c:pt>
                <c:pt idx="829">
                  <c:v>45042</c:v>
                </c:pt>
                <c:pt idx="830">
                  <c:v>45041</c:v>
                </c:pt>
                <c:pt idx="831">
                  <c:v>45040</c:v>
                </c:pt>
                <c:pt idx="832">
                  <c:v>45037</c:v>
                </c:pt>
                <c:pt idx="833">
                  <c:v>45036</c:v>
                </c:pt>
                <c:pt idx="834">
                  <c:v>45035</c:v>
                </c:pt>
                <c:pt idx="835">
                  <c:v>45034</c:v>
                </c:pt>
                <c:pt idx="836">
                  <c:v>45033</c:v>
                </c:pt>
                <c:pt idx="837">
                  <c:v>45029</c:v>
                </c:pt>
                <c:pt idx="838">
                  <c:v>45028</c:v>
                </c:pt>
                <c:pt idx="839">
                  <c:v>45027</c:v>
                </c:pt>
                <c:pt idx="840">
                  <c:v>45026</c:v>
                </c:pt>
                <c:pt idx="841">
                  <c:v>45022</c:v>
                </c:pt>
                <c:pt idx="842">
                  <c:v>45021</c:v>
                </c:pt>
                <c:pt idx="843">
                  <c:v>45019</c:v>
                </c:pt>
                <c:pt idx="844">
                  <c:v>45016</c:v>
                </c:pt>
                <c:pt idx="845">
                  <c:v>45014</c:v>
                </c:pt>
                <c:pt idx="846">
                  <c:v>45013</c:v>
                </c:pt>
                <c:pt idx="847">
                  <c:v>45012</c:v>
                </c:pt>
                <c:pt idx="848">
                  <c:v>45009</c:v>
                </c:pt>
                <c:pt idx="849">
                  <c:v>45008</c:v>
                </c:pt>
                <c:pt idx="850">
                  <c:v>45007</c:v>
                </c:pt>
                <c:pt idx="851">
                  <c:v>45006</c:v>
                </c:pt>
                <c:pt idx="852">
                  <c:v>45005</c:v>
                </c:pt>
                <c:pt idx="853">
                  <c:v>45002</c:v>
                </c:pt>
                <c:pt idx="854">
                  <c:v>45001</c:v>
                </c:pt>
                <c:pt idx="855">
                  <c:v>45000</c:v>
                </c:pt>
                <c:pt idx="856">
                  <c:v>44999</c:v>
                </c:pt>
                <c:pt idx="857">
                  <c:v>44998</c:v>
                </c:pt>
                <c:pt idx="858">
                  <c:v>44995</c:v>
                </c:pt>
                <c:pt idx="859">
                  <c:v>44994</c:v>
                </c:pt>
                <c:pt idx="860">
                  <c:v>44993</c:v>
                </c:pt>
                <c:pt idx="861">
                  <c:v>44991</c:v>
                </c:pt>
                <c:pt idx="862">
                  <c:v>44988</c:v>
                </c:pt>
                <c:pt idx="863">
                  <c:v>44987</c:v>
                </c:pt>
                <c:pt idx="864">
                  <c:v>44986</c:v>
                </c:pt>
                <c:pt idx="865">
                  <c:v>44985</c:v>
                </c:pt>
                <c:pt idx="866">
                  <c:v>44984</c:v>
                </c:pt>
                <c:pt idx="867">
                  <c:v>44981</c:v>
                </c:pt>
                <c:pt idx="868">
                  <c:v>44980</c:v>
                </c:pt>
                <c:pt idx="869">
                  <c:v>44979</c:v>
                </c:pt>
                <c:pt idx="870">
                  <c:v>44978</c:v>
                </c:pt>
                <c:pt idx="871">
                  <c:v>44977</c:v>
                </c:pt>
                <c:pt idx="872">
                  <c:v>44974</c:v>
                </c:pt>
                <c:pt idx="873">
                  <c:v>44973</c:v>
                </c:pt>
                <c:pt idx="874">
                  <c:v>44972</c:v>
                </c:pt>
                <c:pt idx="875">
                  <c:v>44971</c:v>
                </c:pt>
                <c:pt idx="876">
                  <c:v>44970</c:v>
                </c:pt>
                <c:pt idx="877">
                  <c:v>44967</c:v>
                </c:pt>
                <c:pt idx="878">
                  <c:v>44966</c:v>
                </c:pt>
                <c:pt idx="879">
                  <c:v>44965</c:v>
                </c:pt>
                <c:pt idx="880">
                  <c:v>44964</c:v>
                </c:pt>
                <c:pt idx="881">
                  <c:v>44963</c:v>
                </c:pt>
                <c:pt idx="882">
                  <c:v>44960</c:v>
                </c:pt>
                <c:pt idx="883">
                  <c:v>44959</c:v>
                </c:pt>
                <c:pt idx="884">
                  <c:v>44958</c:v>
                </c:pt>
                <c:pt idx="885">
                  <c:v>44957</c:v>
                </c:pt>
                <c:pt idx="886">
                  <c:v>44956</c:v>
                </c:pt>
                <c:pt idx="887">
                  <c:v>44953</c:v>
                </c:pt>
                <c:pt idx="888">
                  <c:v>44951</c:v>
                </c:pt>
                <c:pt idx="889">
                  <c:v>44950</c:v>
                </c:pt>
                <c:pt idx="890">
                  <c:v>44949</c:v>
                </c:pt>
                <c:pt idx="891">
                  <c:v>44946</c:v>
                </c:pt>
                <c:pt idx="892">
                  <c:v>44945</c:v>
                </c:pt>
                <c:pt idx="893">
                  <c:v>44944</c:v>
                </c:pt>
                <c:pt idx="894">
                  <c:v>44943</c:v>
                </c:pt>
                <c:pt idx="895">
                  <c:v>44942</c:v>
                </c:pt>
                <c:pt idx="896">
                  <c:v>44939</c:v>
                </c:pt>
                <c:pt idx="897">
                  <c:v>44938</c:v>
                </c:pt>
                <c:pt idx="898">
                  <c:v>44937</c:v>
                </c:pt>
                <c:pt idx="899">
                  <c:v>44936</c:v>
                </c:pt>
                <c:pt idx="900">
                  <c:v>44935</c:v>
                </c:pt>
                <c:pt idx="901">
                  <c:v>44932</c:v>
                </c:pt>
                <c:pt idx="902">
                  <c:v>44931</c:v>
                </c:pt>
                <c:pt idx="903">
                  <c:v>44930</c:v>
                </c:pt>
                <c:pt idx="904">
                  <c:v>44929</c:v>
                </c:pt>
                <c:pt idx="905">
                  <c:v>44928</c:v>
                </c:pt>
                <c:pt idx="906">
                  <c:v>44925</c:v>
                </c:pt>
                <c:pt idx="907">
                  <c:v>44924</c:v>
                </c:pt>
                <c:pt idx="908">
                  <c:v>44923</c:v>
                </c:pt>
                <c:pt idx="909">
                  <c:v>44922</c:v>
                </c:pt>
                <c:pt idx="910">
                  <c:v>44921</c:v>
                </c:pt>
                <c:pt idx="911">
                  <c:v>44918</c:v>
                </c:pt>
                <c:pt idx="912">
                  <c:v>44917</c:v>
                </c:pt>
                <c:pt idx="913">
                  <c:v>44916</c:v>
                </c:pt>
                <c:pt idx="914">
                  <c:v>44915</c:v>
                </c:pt>
                <c:pt idx="915">
                  <c:v>44914</c:v>
                </c:pt>
                <c:pt idx="916">
                  <c:v>44911</c:v>
                </c:pt>
                <c:pt idx="917">
                  <c:v>44910</c:v>
                </c:pt>
                <c:pt idx="918">
                  <c:v>44909</c:v>
                </c:pt>
                <c:pt idx="919">
                  <c:v>44908</c:v>
                </c:pt>
                <c:pt idx="920">
                  <c:v>44907</c:v>
                </c:pt>
                <c:pt idx="921">
                  <c:v>44904</c:v>
                </c:pt>
                <c:pt idx="922">
                  <c:v>44903</c:v>
                </c:pt>
                <c:pt idx="923">
                  <c:v>44902</c:v>
                </c:pt>
                <c:pt idx="924">
                  <c:v>44901</c:v>
                </c:pt>
                <c:pt idx="925">
                  <c:v>44900</c:v>
                </c:pt>
                <c:pt idx="926">
                  <c:v>44897</c:v>
                </c:pt>
                <c:pt idx="927">
                  <c:v>44896</c:v>
                </c:pt>
                <c:pt idx="928">
                  <c:v>44895</c:v>
                </c:pt>
                <c:pt idx="929">
                  <c:v>44894</c:v>
                </c:pt>
                <c:pt idx="930">
                  <c:v>44893</c:v>
                </c:pt>
                <c:pt idx="931">
                  <c:v>44890</c:v>
                </c:pt>
                <c:pt idx="932">
                  <c:v>44889</c:v>
                </c:pt>
                <c:pt idx="933">
                  <c:v>44888</c:v>
                </c:pt>
                <c:pt idx="934">
                  <c:v>44887</c:v>
                </c:pt>
                <c:pt idx="935">
                  <c:v>44886</c:v>
                </c:pt>
                <c:pt idx="936">
                  <c:v>44883</c:v>
                </c:pt>
                <c:pt idx="937">
                  <c:v>44882</c:v>
                </c:pt>
                <c:pt idx="938">
                  <c:v>44881</c:v>
                </c:pt>
                <c:pt idx="939">
                  <c:v>44880</c:v>
                </c:pt>
                <c:pt idx="940">
                  <c:v>44879</c:v>
                </c:pt>
                <c:pt idx="941">
                  <c:v>44876</c:v>
                </c:pt>
                <c:pt idx="942">
                  <c:v>44875</c:v>
                </c:pt>
                <c:pt idx="943">
                  <c:v>44874</c:v>
                </c:pt>
                <c:pt idx="944">
                  <c:v>44872</c:v>
                </c:pt>
                <c:pt idx="945">
                  <c:v>44869</c:v>
                </c:pt>
                <c:pt idx="946">
                  <c:v>44868</c:v>
                </c:pt>
                <c:pt idx="947">
                  <c:v>44867</c:v>
                </c:pt>
                <c:pt idx="948">
                  <c:v>44866</c:v>
                </c:pt>
                <c:pt idx="949">
                  <c:v>44865</c:v>
                </c:pt>
                <c:pt idx="950">
                  <c:v>44862</c:v>
                </c:pt>
                <c:pt idx="951">
                  <c:v>44861</c:v>
                </c:pt>
                <c:pt idx="952">
                  <c:v>44859</c:v>
                </c:pt>
                <c:pt idx="953">
                  <c:v>44858</c:v>
                </c:pt>
                <c:pt idx="954">
                  <c:v>44855</c:v>
                </c:pt>
                <c:pt idx="955">
                  <c:v>44854</c:v>
                </c:pt>
                <c:pt idx="956">
                  <c:v>44853</c:v>
                </c:pt>
                <c:pt idx="957">
                  <c:v>44852</c:v>
                </c:pt>
                <c:pt idx="958">
                  <c:v>44851</c:v>
                </c:pt>
                <c:pt idx="959">
                  <c:v>44848</c:v>
                </c:pt>
                <c:pt idx="960">
                  <c:v>44847</c:v>
                </c:pt>
                <c:pt idx="961">
                  <c:v>44846</c:v>
                </c:pt>
                <c:pt idx="962">
                  <c:v>44845</c:v>
                </c:pt>
                <c:pt idx="963">
                  <c:v>44844</c:v>
                </c:pt>
                <c:pt idx="964">
                  <c:v>44841</c:v>
                </c:pt>
                <c:pt idx="965">
                  <c:v>44840</c:v>
                </c:pt>
                <c:pt idx="966">
                  <c:v>44838</c:v>
                </c:pt>
                <c:pt idx="967">
                  <c:v>44837</c:v>
                </c:pt>
                <c:pt idx="968">
                  <c:v>44834</c:v>
                </c:pt>
                <c:pt idx="969">
                  <c:v>44833</c:v>
                </c:pt>
                <c:pt idx="970">
                  <c:v>44832</c:v>
                </c:pt>
                <c:pt idx="971">
                  <c:v>44831</c:v>
                </c:pt>
                <c:pt idx="972">
                  <c:v>44830</c:v>
                </c:pt>
                <c:pt idx="973">
                  <c:v>44827</c:v>
                </c:pt>
                <c:pt idx="974">
                  <c:v>44826</c:v>
                </c:pt>
                <c:pt idx="975">
                  <c:v>44825</c:v>
                </c:pt>
                <c:pt idx="976">
                  <c:v>44824</c:v>
                </c:pt>
                <c:pt idx="977">
                  <c:v>44823</c:v>
                </c:pt>
                <c:pt idx="978">
                  <c:v>44820</c:v>
                </c:pt>
                <c:pt idx="979">
                  <c:v>44819</c:v>
                </c:pt>
                <c:pt idx="980">
                  <c:v>44818</c:v>
                </c:pt>
                <c:pt idx="981">
                  <c:v>44817</c:v>
                </c:pt>
                <c:pt idx="982">
                  <c:v>44816</c:v>
                </c:pt>
                <c:pt idx="983">
                  <c:v>44813</c:v>
                </c:pt>
                <c:pt idx="984">
                  <c:v>44812</c:v>
                </c:pt>
                <c:pt idx="985">
                  <c:v>44811</c:v>
                </c:pt>
                <c:pt idx="986">
                  <c:v>44810</c:v>
                </c:pt>
                <c:pt idx="987">
                  <c:v>44809</c:v>
                </c:pt>
                <c:pt idx="988">
                  <c:v>44806</c:v>
                </c:pt>
                <c:pt idx="989">
                  <c:v>44805</c:v>
                </c:pt>
                <c:pt idx="990">
                  <c:v>44803</c:v>
                </c:pt>
                <c:pt idx="991">
                  <c:v>44802</c:v>
                </c:pt>
                <c:pt idx="992">
                  <c:v>44799</c:v>
                </c:pt>
                <c:pt idx="993">
                  <c:v>44798</c:v>
                </c:pt>
                <c:pt idx="994">
                  <c:v>44797</c:v>
                </c:pt>
                <c:pt idx="995">
                  <c:v>44796</c:v>
                </c:pt>
                <c:pt idx="996">
                  <c:v>44795</c:v>
                </c:pt>
                <c:pt idx="997">
                  <c:v>44792</c:v>
                </c:pt>
                <c:pt idx="998">
                  <c:v>44791</c:v>
                </c:pt>
                <c:pt idx="999">
                  <c:v>44790</c:v>
                </c:pt>
                <c:pt idx="1000">
                  <c:v>44789</c:v>
                </c:pt>
                <c:pt idx="1001">
                  <c:v>44785</c:v>
                </c:pt>
                <c:pt idx="1002">
                  <c:v>44784</c:v>
                </c:pt>
                <c:pt idx="1003">
                  <c:v>44783</c:v>
                </c:pt>
                <c:pt idx="1004">
                  <c:v>44781</c:v>
                </c:pt>
                <c:pt idx="1005">
                  <c:v>44778</c:v>
                </c:pt>
                <c:pt idx="1006">
                  <c:v>44777</c:v>
                </c:pt>
                <c:pt idx="1007">
                  <c:v>44776</c:v>
                </c:pt>
                <c:pt idx="1008">
                  <c:v>44775</c:v>
                </c:pt>
                <c:pt idx="1009">
                  <c:v>44774</c:v>
                </c:pt>
                <c:pt idx="1010">
                  <c:v>44771</c:v>
                </c:pt>
                <c:pt idx="1011">
                  <c:v>44770</c:v>
                </c:pt>
                <c:pt idx="1012">
                  <c:v>44769</c:v>
                </c:pt>
                <c:pt idx="1013">
                  <c:v>44768</c:v>
                </c:pt>
                <c:pt idx="1014">
                  <c:v>44767</c:v>
                </c:pt>
                <c:pt idx="1015">
                  <c:v>44764</c:v>
                </c:pt>
                <c:pt idx="1016">
                  <c:v>44763</c:v>
                </c:pt>
                <c:pt idx="1017">
                  <c:v>44762</c:v>
                </c:pt>
                <c:pt idx="1018">
                  <c:v>44761</c:v>
                </c:pt>
                <c:pt idx="1019">
                  <c:v>44760</c:v>
                </c:pt>
                <c:pt idx="1020">
                  <c:v>44757</c:v>
                </c:pt>
                <c:pt idx="1021">
                  <c:v>44756</c:v>
                </c:pt>
                <c:pt idx="1022">
                  <c:v>44755</c:v>
                </c:pt>
                <c:pt idx="1023">
                  <c:v>44754</c:v>
                </c:pt>
                <c:pt idx="1024">
                  <c:v>44753</c:v>
                </c:pt>
                <c:pt idx="1025">
                  <c:v>44750</c:v>
                </c:pt>
                <c:pt idx="1026">
                  <c:v>44749</c:v>
                </c:pt>
                <c:pt idx="1027">
                  <c:v>44748</c:v>
                </c:pt>
                <c:pt idx="1028">
                  <c:v>44747</c:v>
                </c:pt>
                <c:pt idx="1029">
                  <c:v>44746</c:v>
                </c:pt>
                <c:pt idx="1030">
                  <c:v>44743</c:v>
                </c:pt>
                <c:pt idx="1031">
                  <c:v>44742</c:v>
                </c:pt>
                <c:pt idx="1032">
                  <c:v>44741</c:v>
                </c:pt>
                <c:pt idx="1033">
                  <c:v>44740</c:v>
                </c:pt>
                <c:pt idx="1034">
                  <c:v>44739</c:v>
                </c:pt>
                <c:pt idx="1035">
                  <c:v>44736</c:v>
                </c:pt>
                <c:pt idx="1036">
                  <c:v>44735</c:v>
                </c:pt>
                <c:pt idx="1037">
                  <c:v>44734</c:v>
                </c:pt>
                <c:pt idx="1038">
                  <c:v>44733</c:v>
                </c:pt>
                <c:pt idx="1039">
                  <c:v>44732</c:v>
                </c:pt>
                <c:pt idx="1040">
                  <c:v>44729</c:v>
                </c:pt>
                <c:pt idx="1041">
                  <c:v>44728</c:v>
                </c:pt>
                <c:pt idx="1042">
                  <c:v>44727</c:v>
                </c:pt>
                <c:pt idx="1043">
                  <c:v>44726</c:v>
                </c:pt>
                <c:pt idx="1044">
                  <c:v>44725</c:v>
                </c:pt>
                <c:pt idx="1045">
                  <c:v>44722</c:v>
                </c:pt>
                <c:pt idx="1046">
                  <c:v>44721</c:v>
                </c:pt>
                <c:pt idx="1047">
                  <c:v>44720</c:v>
                </c:pt>
                <c:pt idx="1048">
                  <c:v>44719</c:v>
                </c:pt>
                <c:pt idx="1049">
                  <c:v>44718</c:v>
                </c:pt>
                <c:pt idx="1050">
                  <c:v>44715</c:v>
                </c:pt>
                <c:pt idx="1051">
                  <c:v>44714</c:v>
                </c:pt>
                <c:pt idx="1052">
                  <c:v>44713</c:v>
                </c:pt>
                <c:pt idx="1053">
                  <c:v>44712</c:v>
                </c:pt>
                <c:pt idx="1054">
                  <c:v>44711</c:v>
                </c:pt>
                <c:pt idx="1055">
                  <c:v>44708</c:v>
                </c:pt>
                <c:pt idx="1056">
                  <c:v>44707</c:v>
                </c:pt>
                <c:pt idx="1057">
                  <c:v>44706</c:v>
                </c:pt>
                <c:pt idx="1058">
                  <c:v>44705</c:v>
                </c:pt>
                <c:pt idx="1059">
                  <c:v>44704</c:v>
                </c:pt>
                <c:pt idx="1060">
                  <c:v>44701</c:v>
                </c:pt>
                <c:pt idx="1061">
                  <c:v>44700</c:v>
                </c:pt>
                <c:pt idx="1062">
                  <c:v>44699</c:v>
                </c:pt>
                <c:pt idx="1063">
                  <c:v>44698</c:v>
                </c:pt>
                <c:pt idx="1064">
                  <c:v>44697</c:v>
                </c:pt>
                <c:pt idx="1065">
                  <c:v>44694</c:v>
                </c:pt>
                <c:pt idx="1066">
                  <c:v>44693</c:v>
                </c:pt>
                <c:pt idx="1067">
                  <c:v>44692</c:v>
                </c:pt>
                <c:pt idx="1068">
                  <c:v>44691</c:v>
                </c:pt>
                <c:pt idx="1069">
                  <c:v>44690</c:v>
                </c:pt>
                <c:pt idx="1070">
                  <c:v>44687</c:v>
                </c:pt>
                <c:pt idx="1071">
                  <c:v>44686</c:v>
                </c:pt>
                <c:pt idx="1072">
                  <c:v>44685</c:v>
                </c:pt>
                <c:pt idx="1073">
                  <c:v>44683</c:v>
                </c:pt>
                <c:pt idx="1074">
                  <c:v>44680</c:v>
                </c:pt>
                <c:pt idx="1075">
                  <c:v>44679</c:v>
                </c:pt>
                <c:pt idx="1076">
                  <c:v>44678</c:v>
                </c:pt>
                <c:pt idx="1077">
                  <c:v>44677</c:v>
                </c:pt>
                <c:pt idx="1078">
                  <c:v>44676</c:v>
                </c:pt>
                <c:pt idx="1079">
                  <c:v>44673</c:v>
                </c:pt>
                <c:pt idx="1080">
                  <c:v>44672</c:v>
                </c:pt>
                <c:pt idx="1081">
                  <c:v>44671</c:v>
                </c:pt>
                <c:pt idx="1082">
                  <c:v>44670</c:v>
                </c:pt>
                <c:pt idx="1083">
                  <c:v>44669</c:v>
                </c:pt>
                <c:pt idx="1084">
                  <c:v>44664</c:v>
                </c:pt>
                <c:pt idx="1085">
                  <c:v>44663</c:v>
                </c:pt>
                <c:pt idx="1086">
                  <c:v>44662</c:v>
                </c:pt>
                <c:pt idx="1087">
                  <c:v>44659</c:v>
                </c:pt>
                <c:pt idx="1088">
                  <c:v>44658</c:v>
                </c:pt>
                <c:pt idx="1089">
                  <c:v>44657</c:v>
                </c:pt>
                <c:pt idx="1090">
                  <c:v>44656</c:v>
                </c:pt>
                <c:pt idx="1091">
                  <c:v>44655</c:v>
                </c:pt>
                <c:pt idx="1092">
                  <c:v>44652</c:v>
                </c:pt>
                <c:pt idx="1093">
                  <c:v>44651</c:v>
                </c:pt>
                <c:pt idx="1094">
                  <c:v>44650</c:v>
                </c:pt>
                <c:pt idx="1095">
                  <c:v>44649</c:v>
                </c:pt>
                <c:pt idx="1096">
                  <c:v>44648</c:v>
                </c:pt>
                <c:pt idx="1097">
                  <c:v>44645</c:v>
                </c:pt>
                <c:pt idx="1098">
                  <c:v>44644</c:v>
                </c:pt>
                <c:pt idx="1099">
                  <c:v>44643</c:v>
                </c:pt>
                <c:pt idx="1100">
                  <c:v>44642</c:v>
                </c:pt>
                <c:pt idx="1101">
                  <c:v>44641</c:v>
                </c:pt>
                <c:pt idx="1102">
                  <c:v>44637</c:v>
                </c:pt>
                <c:pt idx="1103">
                  <c:v>44636</c:v>
                </c:pt>
                <c:pt idx="1104">
                  <c:v>44635</c:v>
                </c:pt>
                <c:pt idx="1105">
                  <c:v>44634</c:v>
                </c:pt>
                <c:pt idx="1106">
                  <c:v>44631</c:v>
                </c:pt>
                <c:pt idx="1107">
                  <c:v>44630</c:v>
                </c:pt>
                <c:pt idx="1108">
                  <c:v>44629</c:v>
                </c:pt>
                <c:pt idx="1109">
                  <c:v>44628</c:v>
                </c:pt>
                <c:pt idx="1110">
                  <c:v>44627</c:v>
                </c:pt>
                <c:pt idx="1111">
                  <c:v>44624</c:v>
                </c:pt>
                <c:pt idx="1112">
                  <c:v>44623</c:v>
                </c:pt>
                <c:pt idx="1113">
                  <c:v>44622</c:v>
                </c:pt>
                <c:pt idx="1114">
                  <c:v>44620</c:v>
                </c:pt>
                <c:pt idx="1115">
                  <c:v>44617</c:v>
                </c:pt>
                <c:pt idx="1116">
                  <c:v>44616</c:v>
                </c:pt>
                <c:pt idx="1117">
                  <c:v>44615</c:v>
                </c:pt>
                <c:pt idx="1118">
                  <c:v>44614</c:v>
                </c:pt>
                <c:pt idx="1119">
                  <c:v>44613</c:v>
                </c:pt>
                <c:pt idx="1120">
                  <c:v>44610</c:v>
                </c:pt>
                <c:pt idx="1121">
                  <c:v>44609</c:v>
                </c:pt>
                <c:pt idx="1122">
                  <c:v>44608</c:v>
                </c:pt>
                <c:pt idx="1123">
                  <c:v>44607</c:v>
                </c:pt>
                <c:pt idx="1124">
                  <c:v>44606</c:v>
                </c:pt>
                <c:pt idx="1125">
                  <c:v>44603</c:v>
                </c:pt>
                <c:pt idx="1126">
                  <c:v>44602</c:v>
                </c:pt>
                <c:pt idx="1127">
                  <c:v>44601</c:v>
                </c:pt>
                <c:pt idx="1128">
                  <c:v>44600</c:v>
                </c:pt>
                <c:pt idx="1129">
                  <c:v>44599</c:v>
                </c:pt>
                <c:pt idx="1130">
                  <c:v>44596</c:v>
                </c:pt>
                <c:pt idx="1131">
                  <c:v>44595</c:v>
                </c:pt>
                <c:pt idx="1132">
                  <c:v>44594</c:v>
                </c:pt>
                <c:pt idx="1133">
                  <c:v>44593</c:v>
                </c:pt>
                <c:pt idx="1134">
                  <c:v>44592</c:v>
                </c:pt>
                <c:pt idx="1135">
                  <c:v>44589</c:v>
                </c:pt>
                <c:pt idx="1136">
                  <c:v>44588</c:v>
                </c:pt>
                <c:pt idx="1137">
                  <c:v>44586</c:v>
                </c:pt>
                <c:pt idx="1138">
                  <c:v>44585</c:v>
                </c:pt>
                <c:pt idx="1139">
                  <c:v>44582</c:v>
                </c:pt>
                <c:pt idx="1140">
                  <c:v>44581</c:v>
                </c:pt>
                <c:pt idx="1141">
                  <c:v>44580</c:v>
                </c:pt>
                <c:pt idx="1142">
                  <c:v>44579</c:v>
                </c:pt>
                <c:pt idx="1143">
                  <c:v>44578</c:v>
                </c:pt>
                <c:pt idx="1144">
                  <c:v>44575</c:v>
                </c:pt>
                <c:pt idx="1145">
                  <c:v>44574</c:v>
                </c:pt>
                <c:pt idx="1146">
                  <c:v>44573</c:v>
                </c:pt>
                <c:pt idx="1147">
                  <c:v>44572</c:v>
                </c:pt>
                <c:pt idx="1148">
                  <c:v>44571</c:v>
                </c:pt>
                <c:pt idx="1149">
                  <c:v>44568</c:v>
                </c:pt>
                <c:pt idx="1150">
                  <c:v>44567</c:v>
                </c:pt>
                <c:pt idx="1151">
                  <c:v>44566</c:v>
                </c:pt>
                <c:pt idx="1152">
                  <c:v>44565</c:v>
                </c:pt>
                <c:pt idx="1153">
                  <c:v>44564</c:v>
                </c:pt>
                <c:pt idx="1154">
                  <c:v>44561</c:v>
                </c:pt>
                <c:pt idx="1155">
                  <c:v>44560</c:v>
                </c:pt>
                <c:pt idx="1156">
                  <c:v>44559</c:v>
                </c:pt>
                <c:pt idx="1157">
                  <c:v>44558</c:v>
                </c:pt>
                <c:pt idx="1158">
                  <c:v>44557</c:v>
                </c:pt>
                <c:pt idx="1159">
                  <c:v>44554</c:v>
                </c:pt>
                <c:pt idx="1160">
                  <c:v>44553</c:v>
                </c:pt>
                <c:pt idx="1161">
                  <c:v>44552</c:v>
                </c:pt>
                <c:pt idx="1162">
                  <c:v>44551</c:v>
                </c:pt>
                <c:pt idx="1163">
                  <c:v>44550</c:v>
                </c:pt>
                <c:pt idx="1164">
                  <c:v>44547</c:v>
                </c:pt>
                <c:pt idx="1165">
                  <c:v>44546</c:v>
                </c:pt>
                <c:pt idx="1166">
                  <c:v>44545</c:v>
                </c:pt>
                <c:pt idx="1167">
                  <c:v>44544</c:v>
                </c:pt>
                <c:pt idx="1168">
                  <c:v>44543</c:v>
                </c:pt>
                <c:pt idx="1169">
                  <c:v>44540</c:v>
                </c:pt>
                <c:pt idx="1170">
                  <c:v>44539</c:v>
                </c:pt>
                <c:pt idx="1171">
                  <c:v>44538</c:v>
                </c:pt>
                <c:pt idx="1172">
                  <c:v>44537</c:v>
                </c:pt>
                <c:pt idx="1173">
                  <c:v>44536</c:v>
                </c:pt>
                <c:pt idx="1174">
                  <c:v>44533</c:v>
                </c:pt>
                <c:pt idx="1175">
                  <c:v>44532</c:v>
                </c:pt>
                <c:pt idx="1176">
                  <c:v>44531</c:v>
                </c:pt>
                <c:pt idx="1177">
                  <c:v>44530</c:v>
                </c:pt>
                <c:pt idx="1178">
                  <c:v>44529</c:v>
                </c:pt>
                <c:pt idx="1179">
                  <c:v>44526</c:v>
                </c:pt>
                <c:pt idx="1180">
                  <c:v>44525</c:v>
                </c:pt>
                <c:pt idx="1181">
                  <c:v>44524</c:v>
                </c:pt>
                <c:pt idx="1182">
                  <c:v>44523</c:v>
                </c:pt>
                <c:pt idx="1183">
                  <c:v>44522</c:v>
                </c:pt>
                <c:pt idx="1184">
                  <c:v>44518</c:v>
                </c:pt>
                <c:pt idx="1185">
                  <c:v>44517</c:v>
                </c:pt>
                <c:pt idx="1186">
                  <c:v>44516</c:v>
                </c:pt>
                <c:pt idx="1187">
                  <c:v>44515</c:v>
                </c:pt>
                <c:pt idx="1188">
                  <c:v>44512</c:v>
                </c:pt>
                <c:pt idx="1189">
                  <c:v>44511</c:v>
                </c:pt>
                <c:pt idx="1190">
                  <c:v>44510</c:v>
                </c:pt>
                <c:pt idx="1191">
                  <c:v>44509</c:v>
                </c:pt>
                <c:pt idx="1192">
                  <c:v>44508</c:v>
                </c:pt>
                <c:pt idx="1193">
                  <c:v>44504</c:v>
                </c:pt>
                <c:pt idx="1194">
                  <c:v>44503</c:v>
                </c:pt>
                <c:pt idx="1195">
                  <c:v>44502</c:v>
                </c:pt>
                <c:pt idx="1196">
                  <c:v>44501</c:v>
                </c:pt>
                <c:pt idx="1197">
                  <c:v>44498</c:v>
                </c:pt>
                <c:pt idx="1198">
                  <c:v>44497</c:v>
                </c:pt>
                <c:pt idx="1199">
                  <c:v>44496</c:v>
                </c:pt>
                <c:pt idx="1200">
                  <c:v>44495</c:v>
                </c:pt>
                <c:pt idx="1201">
                  <c:v>44494</c:v>
                </c:pt>
                <c:pt idx="1202">
                  <c:v>44491</c:v>
                </c:pt>
                <c:pt idx="1203">
                  <c:v>44490</c:v>
                </c:pt>
                <c:pt idx="1204">
                  <c:v>44489</c:v>
                </c:pt>
                <c:pt idx="1205">
                  <c:v>44488</c:v>
                </c:pt>
                <c:pt idx="1206">
                  <c:v>44487</c:v>
                </c:pt>
                <c:pt idx="1207">
                  <c:v>44483</c:v>
                </c:pt>
                <c:pt idx="1208">
                  <c:v>44482</c:v>
                </c:pt>
                <c:pt idx="1209">
                  <c:v>44481</c:v>
                </c:pt>
                <c:pt idx="1210">
                  <c:v>44480</c:v>
                </c:pt>
                <c:pt idx="1211">
                  <c:v>44477</c:v>
                </c:pt>
                <c:pt idx="1212">
                  <c:v>44476</c:v>
                </c:pt>
                <c:pt idx="1213">
                  <c:v>44475</c:v>
                </c:pt>
                <c:pt idx="1214">
                  <c:v>44474</c:v>
                </c:pt>
                <c:pt idx="1215">
                  <c:v>44473</c:v>
                </c:pt>
                <c:pt idx="1216">
                  <c:v>44470</c:v>
                </c:pt>
                <c:pt idx="1217">
                  <c:v>44469</c:v>
                </c:pt>
                <c:pt idx="1218">
                  <c:v>44468</c:v>
                </c:pt>
                <c:pt idx="1219">
                  <c:v>44467</c:v>
                </c:pt>
                <c:pt idx="1220">
                  <c:v>44466</c:v>
                </c:pt>
                <c:pt idx="1221">
                  <c:v>44463</c:v>
                </c:pt>
                <c:pt idx="1222">
                  <c:v>44462</c:v>
                </c:pt>
                <c:pt idx="1223">
                  <c:v>44461</c:v>
                </c:pt>
                <c:pt idx="1224">
                  <c:v>44460</c:v>
                </c:pt>
                <c:pt idx="1225">
                  <c:v>44459</c:v>
                </c:pt>
                <c:pt idx="1226">
                  <c:v>44456</c:v>
                </c:pt>
                <c:pt idx="1227">
                  <c:v>44455</c:v>
                </c:pt>
                <c:pt idx="1228">
                  <c:v>44454</c:v>
                </c:pt>
                <c:pt idx="1229">
                  <c:v>44453</c:v>
                </c:pt>
                <c:pt idx="1230">
                  <c:v>44452</c:v>
                </c:pt>
                <c:pt idx="1231">
                  <c:v>44448</c:v>
                </c:pt>
                <c:pt idx="1232">
                  <c:v>44447</c:v>
                </c:pt>
                <c:pt idx="1233">
                  <c:v>44446</c:v>
                </c:pt>
                <c:pt idx="1234">
                  <c:v>44445</c:v>
                </c:pt>
                <c:pt idx="1235">
                  <c:v>44442</c:v>
                </c:pt>
                <c:pt idx="1236">
                  <c:v>44441</c:v>
                </c:pt>
                <c:pt idx="1237">
                  <c:v>44440</c:v>
                </c:pt>
                <c:pt idx="1238">
                  <c:v>44439</c:v>
                </c:pt>
                <c:pt idx="1239">
                  <c:v>44438</c:v>
                </c:pt>
                <c:pt idx="1240">
                  <c:v>44435</c:v>
                </c:pt>
              </c:numCache>
            </c:numRef>
          </c:cat>
          <c:val>
            <c:numRef>
              <c:f>'Hist Share Price'!$C$4:$C$1244</c:f>
              <c:numCache>
                <c:formatCode>#,##0.00</c:formatCode>
                <c:ptCount val="1241"/>
                <c:pt idx="0">
                  <c:v>5139.3</c:v>
                </c:pt>
                <c:pt idx="1">
                  <c:v>5100</c:v>
                </c:pt>
                <c:pt idx="2">
                  <c:v>5124.8</c:v>
                </c:pt>
                <c:pt idx="3">
                  <c:v>5079</c:v>
                </c:pt>
                <c:pt idx="4">
                  <c:v>5086.1000000000004</c:v>
                </c:pt>
                <c:pt idx="5">
                  <c:v>5068</c:v>
                </c:pt>
                <c:pt idx="6">
                  <c:v>5068</c:v>
                </c:pt>
                <c:pt idx="7">
                  <c:v>5048.6000000000004</c:v>
                </c:pt>
                <c:pt idx="8">
                  <c:v>5068.5</c:v>
                </c:pt>
                <c:pt idx="9">
                  <c:v>5056.2</c:v>
                </c:pt>
                <c:pt idx="10">
                  <c:v>5063.7</c:v>
                </c:pt>
                <c:pt idx="11">
                  <c:v>5099</c:v>
                </c:pt>
                <c:pt idx="12">
                  <c:v>5128</c:v>
                </c:pt>
                <c:pt idx="13">
                  <c:v>5090</c:v>
                </c:pt>
                <c:pt idx="14">
                  <c:v>4941</c:v>
                </c:pt>
                <c:pt idx="15">
                  <c:v>4998</c:v>
                </c:pt>
                <c:pt idx="16">
                  <c:v>4912.3999999999996</c:v>
                </c:pt>
                <c:pt idx="17">
                  <c:v>4935</c:v>
                </c:pt>
                <c:pt idx="18">
                  <c:v>5000</c:v>
                </c:pt>
                <c:pt idx="19">
                  <c:v>4875.2</c:v>
                </c:pt>
                <c:pt idx="20">
                  <c:v>4850</c:v>
                </c:pt>
                <c:pt idx="21">
                  <c:v>4850.2</c:v>
                </c:pt>
                <c:pt idx="22">
                  <c:v>4849.7</c:v>
                </c:pt>
                <c:pt idx="23">
                  <c:v>4740.1000000000004</c:v>
                </c:pt>
                <c:pt idx="24">
                  <c:v>4677</c:v>
                </c:pt>
                <c:pt idx="25">
                  <c:v>4697.3</c:v>
                </c:pt>
                <c:pt idx="26">
                  <c:v>4711.6000000000004</c:v>
                </c:pt>
                <c:pt idx="27">
                  <c:v>4688.7</c:v>
                </c:pt>
                <c:pt idx="28">
                  <c:v>4643.3999999999996</c:v>
                </c:pt>
                <c:pt idx="29">
                  <c:v>4638.1000000000004</c:v>
                </c:pt>
                <c:pt idx="30">
                  <c:v>4625.8</c:v>
                </c:pt>
                <c:pt idx="31">
                  <c:v>4579.3999999999996</c:v>
                </c:pt>
                <c:pt idx="32">
                  <c:v>4573.7</c:v>
                </c:pt>
                <c:pt idx="33">
                  <c:v>4601.5</c:v>
                </c:pt>
                <c:pt idx="34">
                  <c:v>4584.3999999999996</c:v>
                </c:pt>
                <c:pt idx="35">
                  <c:v>4555.8</c:v>
                </c:pt>
                <c:pt idx="36">
                  <c:v>4586.3999999999996</c:v>
                </c:pt>
                <c:pt idx="37">
                  <c:v>4604.2</c:v>
                </c:pt>
                <c:pt idx="38">
                  <c:v>4484.3999999999996</c:v>
                </c:pt>
                <c:pt idx="39">
                  <c:v>4461.1000000000004</c:v>
                </c:pt>
                <c:pt idx="40">
                  <c:v>4481.1000000000004</c:v>
                </c:pt>
                <c:pt idx="41">
                  <c:v>4398.6000000000004</c:v>
                </c:pt>
                <c:pt idx="42">
                  <c:v>4404</c:v>
                </c:pt>
                <c:pt idx="43">
                  <c:v>4277.2</c:v>
                </c:pt>
                <c:pt idx="44">
                  <c:v>4291.3</c:v>
                </c:pt>
                <c:pt idx="45">
                  <c:v>4323.8</c:v>
                </c:pt>
                <c:pt idx="46">
                  <c:v>4305.3</c:v>
                </c:pt>
                <c:pt idx="47">
                  <c:v>4372.5</c:v>
                </c:pt>
                <c:pt idx="48">
                  <c:v>4419.8999999999996</c:v>
                </c:pt>
                <c:pt idx="49">
                  <c:v>4387.8999999999996</c:v>
                </c:pt>
                <c:pt idx="50">
                  <c:v>4380.5</c:v>
                </c:pt>
                <c:pt idx="51">
                  <c:v>4338</c:v>
                </c:pt>
                <c:pt idx="52">
                  <c:v>4283.5</c:v>
                </c:pt>
                <c:pt idx="53">
                  <c:v>4184</c:v>
                </c:pt>
                <c:pt idx="54">
                  <c:v>4025.2</c:v>
                </c:pt>
                <c:pt idx="55">
                  <c:v>4042.1</c:v>
                </c:pt>
                <c:pt idx="56">
                  <c:v>4104.8999999999996</c:v>
                </c:pt>
                <c:pt idx="57">
                  <c:v>4192.3999999999996</c:v>
                </c:pt>
                <c:pt idx="58">
                  <c:v>4260.2</c:v>
                </c:pt>
                <c:pt idx="59">
                  <c:v>4231</c:v>
                </c:pt>
                <c:pt idx="60">
                  <c:v>4088.8</c:v>
                </c:pt>
                <c:pt idx="61">
                  <c:v>4078.1</c:v>
                </c:pt>
                <c:pt idx="62">
                  <c:v>4024.6</c:v>
                </c:pt>
                <c:pt idx="63">
                  <c:v>4074.9</c:v>
                </c:pt>
                <c:pt idx="64">
                  <c:v>4137.8999999999996</c:v>
                </c:pt>
                <c:pt idx="65">
                  <c:v>4105.8999999999996</c:v>
                </c:pt>
                <c:pt idx="66">
                  <c:v>4159.2</c:v>
                </c:pt>
                <c:pt idx="67">
                  <c:v>4079.8</c:v>
                </c:pt>
                <c:pt idx="68">
                  <c:v>4083.1</c:v>
                </c:pt>
                <c:pt idx="69">
                  <c:v>4106.3999999999996</c:v>
                </c:pt>
                <c:pt idx="70">
                  <c:v>4102</c:v>
                </c:pt>
                <c:pt idx="71">
                  <c:v>4169.7</c:v>
                </c:pt>
                <c:pt idx="72">
                  <c:v>4169.1000000000004</c:v>
                </c:pt>
                <c:pt idx="73">
                  <c:v>4135.2</c:v>
                </c:pt>
                <c:pt idx="74">
                  <c:v>4090.7</c:v>
                </c:pt>
                <c:pt idx="75">
                  <c:v>4055.3</c:v>
                </c:pt>
                <c:pt idx="76">
                  <c:v>4205.6000000000004</c:v>
                </c:pt>
                <c:pt idx="77">
                  <c:v>4509</c:v>
                </c:pt>
                <c:pt idx="78">
                  <c:v>4307.5</c:v>
                </c:pt>
                <c:pt idx="79">
                  <c:v>4359.6000000000004</c:v>
                </c:pt>
                <c:pt idx="80">
                  <c:v>4373.6000000000004</c:v>
                </c:pt>
                <c:pt idx="81">
                  <c:v>4363</c:v>
                </c:pt>
                <c:pt idx="82">
                  <c:v>4385.2</c:v>
                </c:pt>
                <c:pt idx="83">
                  <c:v>4439.8</c:v>
                </c:pt>
                <c:pt idx="84">
                  <c:v>4417</c:v>
                </c:pt>
                <c:pt idx="85">
                  <c:v>4441.8</c:v>
                </c:pt>
                <c:pt idx="86">
                  <c:v>4410</c:v>
                </c:pt>
                <c:pt idx="87">
                  <c:v>4456.5</c:v>
                </c:pt>
                <c:pt idx="88">
                  <c:v>4454.6000000000004</c:v>
                </c:pt>
                <c:pt idx="89">
                  <c:v>4479.7</c:v>
                </c:pt>
                <c:pt idx="90">
                  <c:v>4513</c:v>
                </c:pt>
                <c:pt idx="91">
                  <c:v>4525.8999999999996</c:v>
                </c:pt>
                <c:pt idx="92">
                  <c:v>4461.3999999999996</c:v>
                </c:pt>
                <c:pt idx="93">
                  <c:v>4522.2</c:v>
                </c:pt>
                <c:pt idx="94">
                  <c:v>4439.3</c:v>
                </c:pt>
                <c:pt idx="95">
                  <c:v>4505</c:v>
                </c:pt>
                <c:pt idx="96">
                  <c:v>4439.8</c:v>
                </c:pt>
                <c:pt idx="97">
                  <c:v>4492.5</c:v>
                </c:pt>
                <c:pt idx="98">
                  <c:v>4230.6000000000004</c:v>
                </c:pt>
                <c:pt idx="99">
                  <c:v>4246.1000000000004</c:v>
                </c:pt>
                <c:pt idx="100">
                  <c:v>4097.2</c:v>
                </c:pt>
                <c:pt idx="101">
                  <c:v>4065.5</c:v>
                </c:pt>
                <c:pt idx="102">
                  <c:v>3951.4</c:v>
                </c:pt>
                <c:pt idx="103">
                  <c:v>3981.5</c:v>
                </c:pt>
                <c:pt idx="104">
                  <c:v>4039.3</c:v>
                </c:pt>
                <c:pt idx="105">
                  <c:v>3899.5</c:v>
                </c:pt>
                <c:pt idx="106">
                  <c:v>3853.1</c:v>
                </c:pt>
                <c:pt idx="107">
                  <c:v>4106.6000000000004</c:v>
                </c:pt>
                <c:pt idx="108">
                  <c:v>4037.9</c:v>
                </c:pt>
                <c:pt idx="109">
                  <c:v>4145.5</c:v>
                </c:pt>
                <c:pt idx="110">
                  <c:v>4090.5</c:v>
                </c:pt>
                <c:pt idx="111">
                  <c:v>4090.8</c:v>
                </c:pt>
                <c:pt idx="112">
                  <c:v>4073.2</c:v>
                </c:pt>
                <c:pt idx="113">
                  <c:v>4129.6000000000004</c:v>
                </c:pt>
                <c:pt idx="114">
                  <c:v>4140.3</c:v>
                </c:pt>
                <c:pt idx="115">
                  <c:v>4220.1000000000004</c:v>
                </c:pt>
                <c:pt idx="116">
                  <c:v>4159.2</c:v>
                </c:pt>
                <c:pt idx="117">
                  <c:v>4244.6000000000004</c:v>
                </c:pt>
                <c:pt idx="118">
                  <c:v>4275.2</c:v>
                </c:pt>
                <c:pt idx="119">
                  <c:v>4204.3999999999996</c:v>
                </c:pt>
                <c:pt idx="120">
                  <c:v>4270.3</c:v>
                </c:pt>
                <c:pt idx="121">
                  <c:v>4327.5</c:v>
                </c:pt>
                <c:pt idx="122">
                  <c:v>4342.6000000000004</c:v>
                </c:pt>
                <c:pt idx="123">
                  <c:v>4325</c:v>
                </c:pt>
                <c:pt idx="124">
                  <c:v>4294.5</c:v>
                </c:pt>
                <c:pt idx="125">
                  <c:v>4272.7</c:v>
                </c:pt>
                <c:pt idx="126">
                  <c:v>4236.3999999999996</c:v>
                </c:pt>
                <c:pt idx="127">
                  <c:v>4198.2</c:v>
                </c:pt>
                <c:pt idx="128">
                  <c:v>4248.6000000000004</c:v>
                </c:pt>
                <c:pt idx="129">
                  <c:v>4236.3999999999996</c:v>
                </c:pt>
                <c:pt idx="130">
                  <c:v>4181.1000000000004</c:v>
                </c:pt>
                <c:pt idx="131">
                  <c:v>4179.2</c:v>
                </c:pt>
                <c:pt idx="132">
                  <c:v>4275.8</c:v>
                </c:pt>
                <c:pt idx="133">
                  <c:v>4249.1000000000004</c:v>
                </c:pt>
                <c:pt idx="134">
                  <c:v>4269.1000000000004</c:v>
                </c:pt>
                <c:pt idx="135">
                  <c:v>4257.8</c:v>
                </c:pt>
                <c:pt idx="136">
                  <c:v>4141</c:v>
                </c:pt>
                <c:pt idx="137">
                  <c:v>4097.6000000000004</c:v>
                </c:pt>
                <c:pt idx="138">
                  <c:v>4144</c:v>
                </c:pt>
                <c:pt idx="139">
                  <c:v>4068.6</c:v>
                </c:pt>
                <c:pt idx="140">
                  <c:v>3953.2</c:v>
                </c:pt>
                <c:pt idx="141">
                  <c:v>3985.3</c:v>
                </c:pt>
                <c:pt idx="142">
                  <c:v>3977.4</c:v>
                </c:pt>
                <c:pt idx="143">
                  <c:v>3939.7</c:v>
                </c:pt>
                <c:pt idx="144">
                  <c:v>3975.2</c:v>
                </c:pt>
                <c:pt idx="145">
                  <c:v>3997</c:v>
                </c:pt>
                <c:pt idx="146">
                  <c:v>4021.8</c:v>
                </c:pt>
                <c:pt idx="147">
                  <c:v>4018.6</c:v>
                </c:pt>
                <c:pt idx="148">
                  <c:v>4079.2</c:v>
                </c:pt>
                <c:pt idx="149">
                  <c:v>4075.5</c:v>
                </c:pt>
                <c:pt idx="150">
                  <c:v>4144.1000000000004</c:v>
                </c:pt>
                <c:pt idx="151">
                  <c:v>4196.8999999999996</c:v>
                </c:pt>
                <c:pt idx="152">
                  <c:v>4221.5</c:v>
                </c:pt>
                <c:pt idx="153">
                  <c:v>4239.2</c:v>
                </c:pt>
                <c:pt idx="154">
                  <c:v>4231.6000000000004</c:v>
                </c:pt>
                <c:pt idx="155">
                  <c:v>4201.8</c:v>
                </c:pt>
                <c:pt idx="156">
                  <c:v>4249</c:v>
                </c:pt>
                <c:pt idx="157">
                  <c:v>4273.2</c:v>
                </c:pt>
                <c:pt idx="158">
                  <c:v>4111.8</c:v>
                </c:pt>
                <c:pt idx="159">
                  <c:v>4079.7</c:v>
                </c:pt>
                <c:pt idx="160">
                  <c:v>4051.7</c:v>
                </c:pt>
                <c:pt idx="161">
                  <c:v>4049.3</c:v>
                </c:pt>
                <c:pt idx="162">
                  <c:v>4051.5</c:v>
                </c:pt>
                <c:pt idx="163">
                  <c:v>3974.1</c:v>
                </c:pt>
                <c:pt idx="164">
                  <c:v>3983.7</c:v>
                </c:pt>
                <c:pt idx="165">
                  <c:v>3992</c:v>
                </c:pt>
                <c:pt idx="166">
                  <c:v>3909.3</c:v>
                </c:pt>
                <c:pt idx="167">
                  <c:v>3925.8</c:v>
                </c:pt>
                <c:pt idx="168">
                  <c:v>3933.8</c:v>
                </c:pt>
                <c:pt idx="169">
                  <c:v>3930.1</c:v>
                </c:pt>
                <c:pt idx="170">
                  <c:v>3919.3</c:v>
                </c:pt>
                <c:pt idx="171">
                  <c:v>3907.9</c:v>
                </c:pt>
                <c:pt idx="172">
                  <c:v>3929.5</c:v>
                </c:pt>
                <c:pt idx="173">
                  <c:v>3866.2</c:v>
                </c:pt>
                <c:pt idx="174">
                  <c:v>3880.2</c:v>
                </c:pt>
                <c:pt idx="175">
                  <c:v>3844.8</c:v>
                </c:pt>
                <c:pt idx="176">
                  <c:v>3845.7</c:v>
                </c:pt>
                <c:pt idx="177">
                  <c:v>3849</c:v>
                </c:pt>
                <c:pt idx="178">
                  <c:v>3767</c:v>
                </c:pt>
                <c:pt idx="179">
                  <c:v>3813.3</c:v>
                </c:pt>
                <c:pt idx="180">
                  <c:v>3800.4</c:v>
                </c:pt>
                <c:pt idx="181">
                  <c:v>3817.8</c:v>
                </c:pt>
                <c:pt idx="182">
                  <c:v>3885.8</c:v>
                </c:pt>
                <c:pt idx="183">
                  <c:v>3894.9</c:v>
                </c:pt>
                <c:pt idx="184">
                  <c:v>3907.7</c:v>
                </c:pt>
                <c:pt idx="185">
                  <c:v>3903.3</c:v>
                </c:pt>
                <c:pt idx="186">
                  <c:v>3897.7</c:v>
                </c:pt>
                <c:pt idx="187">
                  <c:v>3855.1</c:v>
                </c:pt>
                <c:pt idx="188">
                  <c:v>3874.3</c:v>
                </c:pt>
                <c:pt idx="189">
                  <c:v>3904.2</c:v>
                </c:pt>
                <c:pt idx="190">
                  <c:v>3902.4</c:v>
                </c:pt>
                <c:pt idx="191">
                  <c:v>3933.1</c:v>
                </c:pt>
                <c:pt idx="192">
                  <c:v>3879.2</c:v>
                </c:pt>
                <c:pt idx="193">
                  <c:v>3868.6</c:v>
                </c:pt>
                <c:pt idx="194">
                  <c:v>3829.2</c:v>
                </c:pt>
                <c:pt idx="195">
                  <c:v>3839.2</c:v>
                </c:pt>
                <c:pt idx="196">
                  <c:v>3851.1</c:v>
                </c:pt>
                <c:pt idx="197">
                  <c:v>3812.4</c:v>
                </c:pt>
                <c:pt idx="198">
                  <c:v>3803</c:v>
                </c:pt>
                <c:pt idx="199">
                  <c:v>3769.3</c:v>
                </c:pt>
                <c:pt idx="200">
                  <c:v>3774.4</c:v>
                </c:pt>
                <c:pt idx="201">
                  <c:v>3813.5</c:v>
                </c:pt>
                <c:pt idx="202">
                  <c:v>3724.5</c:v>
                </c:pt>
                <c:pt idx="203">
                  <c:v>3746.7</c:v>
                </c:pt>
                <c:pt idx="204">
                  <c:v>3750.7</c:v>
                </c:pt>
                <c:pt idx="205">
                  <c:v>3748.3</c:v>
                </c:pt>
                <c:pt idx="206">
                  <c:v>3717</c:v>
                </c:pt>
                <c:pt idx="207">
                  <c:v>3739.8</c:v>
                </c:pt>
                <c:pt idx="208">
                  <c:v>3714.9</c:v>
                </c:pt>
                <c:pt idx="209">
                  <c:v>3772.3</c:v>
                </c:pt>
                <c:pt idx="210">
                  <c:v>3729</c:v>
                </c:pt>
                <c:pt idx="211">
                  <c:v>3737.2</c:v>
                </c:pt>
                <c:pt idx="212">
                  <c:v>3674.8</c:v>
                </c:pt>
                <c:pt idx="213">
                  <c:v>3640.3</c:v>
                </c:pt>
                <c:pt idx="214">
                  <c:v>3549</c:v>
                </c:pt>
                <c:pt idx="215">
                  <c:v>3537.4</c:v>
                </c:pt>
                <c:pt idx="216">
                  <c:v>3533.6</c:v>
                </c:pt>
                <c:pt idx="217">
                  <c:v>3531.9</c:v>
                </c:pt>
                <c:pt idx="218">
                  <c:v>3550.6</c:v>
                </c:pt>
                <c:pt idx="219">
                  <c:v>3565.6</c:v>
                </c:pt>
                <c:pt idx="220">
                  <c:v>3418.2</c:v>
                </c:pt>
                <c:pt idx="221">
                  <c:v>3425.4</c:v>
                </c:pt>
                <c:pt idx="222">
                  <c:v>3453.3</c:v>
                </c:pt>
                <c:pt idx="223">
                  <c:v>3408.3</c:v>
                </c:pt>
                <c:pt idx="224">
                  <c:v>3367</c:v>
                </c:pt>
                <c:pt idx="225">
                  <c:v>3401.2</c:v>
                </c:pt>
                <c:pt idx="226">
                  <c:v>3327.3</c:v>
                </c:pt>
                <c:pt idx="227">
                  <c:v>3378.5</c:v>
                </c:pt>
                <c:pt idx="228">
                  <c:v>3418.3</c:v>
                </c:pt>
                <c:pt idx="229">
                  <c:v>3439.2</c:v>
                </c:pt>
                <c:pt idx="230">
                  <c:v>3457.5</c:v>
                </c:pt>
                <c:pt idx="231">
                  <c:v>3467.2</c:v>
                </c:pt>
                <c:pt idx="232">
                  <c:v>3511.3</c:v>
                </c:pt>
                <c:pt idx="233">
                  <c:v>3523</c:v>
                </c:pt>
                <c:pt idx="234">
                  <c:v>3556.8</c:v>
                </c:pt>
                <c:pt idx="235">
                  <c:v>3534.1</c:v>
                </c:pt>
                <c:pt idx="236">
                  <c:v>3571.9</c:v>
                </c:pt>
                <c:pt idx="237">
                  <c:v>3584.2</c:v>
                </c:pt>
                <c:pt idx="238">
                  <c:v>3620.6</c:v>
                </c:pt>
                <c:pt idx="239">
                  <c:v>3630.1</c:v>
                </c:pt>
                <c:pt idx="240">
                  <c:v>3658</c:v>
                </c:pt>
                <c:pt idx="241">
                  <c:v>3665.3</c:v>
                </c:pt>
                <c:pt idx="242">
                  <c:v>3691.1</c:v>
                </c:pt>
                <c:pt idx="243">
                  <c:v>3690.6</c:v>
                </c:pt>
                <c:pt idx="244">
                  <c:v>3620.6</c:v>
                </c:pt>
                <c:pt idx="245">
                  <c:v>3618.6</c:v>
                </c:pt>
                <c:pt idx="246">
                  <c:v>3628.8</c:v>
                </c:pt>
                <c:pt idx="247">
                  <c:v>3637.7</c:v>
                </c:pt>
                <c:pt idx="248">
                  <c:v>3594</c:v>
                </c:pt>
                <c:pt idx="249">
                  <c:v>3651.4</c:v>
                </c:pt>
                <c:pt idx="250">
                  <c:v>3621</c:v>
                </c:pt>
                <c:pt idx="251">
                  <c:v>3616.3</c:v>
                </c:pt>
                <c:pt idx="252">
                  <c:v>3595</c:v>
                </c:pt>
                <c:pt idx="253">
                  <c:v>3568.1</c:v>
                </c:pt>
                <c:pt idx="254">
                  <c:v>3554.8</c:v>
                </c:pt>
                <c:pt idx="255">
                  <c:v>3489.4</c:v>
                </c:pt>
                <c:pt idx="256">
                  <c:v>3466.8</c:v>
                </c:pt>
                <c:pt idx="257">
                  <c:v>3486.8</c:v>
                </c:pt>
                <c:pt idx="258">
                  <c:v>3467.9</c:v>
                </c:pt>
                <c:pt idx="259">
                  <c:v>3460.2</c:v>
                </c:pt>
                <c:pt idx="260">
                  <c:v>3415.7</c:v>
                </c:pt>
                <c:pt idx="261">
                  <c:v>3417.7</c:v>
                </c:pt>
                <c:pt idx="262">
                  <c:v>3418.2</c:v>
                </c:pt>
                <c:pt idx="263">
                  <c:v>3356.3</c:v>
                </c:pt>
                <c:pt idx="264">
                  <c:v>3316</c:v>
                </c:pt>
                <c:pt idx="265">
                  <c:v>3347.3</c:v>
                </c:pt>
                <c:pt idx="266">
                  <c:v>3376.5</c:v>
                </c:pt>
                <c:pt idx="267">
                  <c:v>3379.2</c:v>
                </c:pt>
                <c:pt idx="268">
                  <c:v>3393</c:v>
                </c:pt>
                <c:pt idx="269">
                  <c:v>3462.8</c:v>
                </c:pt>
                <c:pt idx="270">
                  <c:v>3484.4</c:v>
                </c:pt>
                <c:pt idx="271">
                  <c:v>3471.4</c:v>
                </c:pt>
                <c:pt idx="272">
                  <c:v>3472.4</c:v>
                </c:pt>
                <c:pt idx="273">
                  <c:v>3433</c:v>
                </c:pt>
                <c:pt idx="274">
                  <c:v>3402.9</c:v>
                </c:pt>
                <c:pt idx="275">
                  <c:v>3433.3</c:v>
                </c:pt>
                <c:pt idx="276">
                  <c:v>3417.3</c:v>
                </c:pt>
                <c:pt idx="277">
                  <c:v>3415</c:v>
                </c:pt>
                <c:pt idx="278">
                  <c:v>3404.7</c:v>
                </c:pt>
                <c:pt idx="279">
                  <c:v>3361.6</c:v>
                </c:pt>
                <c:pt idx="280">
                  <c:v>3419.8</c:v>
                </c:pt>
                <c:pt idx="281">
                  <c:v>3432.1</c:v>
                </c:pt>
                <c:pt idx="282">
                  <c:v>3441.3</c:v>
                </c:pt>
                <c:pt idx="283">
                  <c:v>3666.1</c:v>
                </c:pt>
                <c:pt idx="284">
                  <c:v>3686.9</c:v>
                </c:pt>
                <c:pt idx="285">
                  <c:v>3678.7</c:v>
                </c:pt>
                <c:pt idx="286">
                  <c:v>3708</c:v>
                </c:pt>
                <c:pt idx="287">
                  <c:v>3700.5</c:v>
                </c:pt>
                <c:pt idx="288">
                  <c:v>3690.2</c:v>
                </c:pt>
                <c:pt idx="289">
                  <c:v>3666.2</c:v>
                </c:pt>
                <c:pt idx="290">
                  <c:v>3694.7</c:v>
                </c:pt>
                <c:pt idx="291">
                  <c:v>3652.2</c:v>
                </c:pt>
                <c:pt idx="292">
                  <c:v>3526</c:v>
                </c:pt>
                <c:pt idx="293">
                  <c:v>3505.7</c:v>
                </c:pt>
                <c:pt idx="294">
                  <c:v>3519</c:v>
                </c:pt>
                <c:pt idx="295">
                  <c:v>3505.4</c:v>
                </c:pt>
                <c:pt idx="296">
                  <c:v>3467.8</c:v>
                </c:pt>
                <c:pt idx="297">
                  <c:v>3405.7</c:v>
                </c:pt>
                <c:pt idx="298">
                  <c:v>3438.1</c:v>
                </c:pt>
                <c:pt idx="299">
                  <c:v>3421.9</c:v>
                </c:pt>
                <c:pt idx="300">
                  <c:v>3452.7</c:v>
                </c:pt>
                <c:pt idx="301">
                  <c:v>3541.6</c:v>
                </c:pt>
                <c:pt idx="302">
                  <c:v>3524.2</c:v>
                </c:pt>
                <c:pt idx="303">
                  <c:v>3533.9</c:v>
                </c:pt>
                <c:pt idx="304">
                  <c:v>3559.9</c:v>
                </c:pt>
                <c:pt idx="305">
                  <c:v>3504</c:v>
                </c:pt>
                <c:pt idx="306">
                  <c:v>3499.8</c:v>
                </c:pt>
                <c:pt idx="307">
                  <c:v>3519.8</c:v>
                </c:pt>
                <c:pt idx="308">
                  <c:v>3525.5</c:v>
                </c:pt>
                <c:pt idx="309">
                  <c:v>3555</c:v>
                </c:pt>
                <c:pt idx="310">
                  <c:v>3588.3</c:v>
                </c:pt>
                <c:pt idx="311">
                  <c:v>3574.7</c:v>
                </c:pt>
                <c:pt idx="312">
                  <c:v>3589.4</c:v>
                </c:pt>
                <c:pt idx="313">
                  <c:v>3610.3</c:v>
                </c:pt>
                <c:pt idx="314">
                  <c:v>3579.7</c:v>
                </c:pt>
                <c:pt idx="315">
                  <c:v>3541</c:v>
                </c:pt>
                <c:pt idx="316">
                  <c:v>3580.5</c:v>
                </c:pt>
                <c:pt idx="317">
                  <c:v>3580.6</c:v>
                </c:pt>
                <c:pt idx="318">
                  <c:v>3617.7</c:v>
                </c:pt>
                <c:pt idx="319">
                  <c:v>3633.7</c:v>
                </c:pt>
                <c:pt idx="320">
                  <c:v>3636.8</c:v>
                </c:pt>
                <c:pt idx="321">
                  <c:v>3587.6</c:v>
                </c:pt>
                <c:pt idx="322">
                  <c:v>3563.2</c:v>
                </c:pt>
                <c:pt idx="323">
                  <c:v>3562.9</c:v>
                </c:pt>
                <c:pt idx="324">
                  <c:v>3510.3</c:v>
                </c:pt>
                <c:pt idx="325">
                  <c:v>3369.3</c:v>
                </c:pt>
                <c:pt idx="326">
                  <c:v>3338.9</c:v>
                </c:pt>
                <c:pt idx="327">
                  <c:v>3299.3</c:v>
                </c:pt>
                <c:pt idx="328">
                  <c:v>3321.8</c:v>
                </c:pt>
                <c:pt idx="329">
                  <c:v>3341</c:v>
                </c:pt>
                <c:pt idx="330">
                  <c:v>3379.7</c:v>
                </c:pt>
                <c:pt idx="331">
                  <c:v>3378.6</c:v>
                </c:pt>
                <c:pt idx="332">
                  <c:v>3369.1</c:v>
                </c:pt>
                <c:pt idx="333">
                  <c:v>3365.2</c:v>
                </c:pt>
                <c:pt idx="334">
                  <c:v>3382.6</c:v>
                </c:pt>
                <c:pt idx="335">
                  <c:v>3357.3</c:v>
                </c:pt>
                <c:pt idx="336">
                  <c:v>3337.4</c:v>
                </c:pt>
                <c:pt idx="337">
                  <c:v>3336.1</c:v>
                </c:pt>
                <c:pt idx="338">
                  <c:v>3327.5</c:v>
                </c:pt>
                <c:pt idx="339">
                  <c:v>3272.1</c:v>
                </c:pt>
                <c:pt idx="340">
                  <c:v>3273.4</c:v>
                </c:pt>
                <c:pt idx="341">
                  <c:v>3234.9</c:v>
                </c:pt>
                <c:pt idx="342">
                  <c:v>3174.15</c:v>
                </c:pt>
                <c:pt idx="343">
                  <c:v>3122.3</c:v>
                </c:pt>
                <c:pt idx="344">
                  <c:v>3022.2</c:v>
                </c:pt>
                <c:pt idx="345">
                  <c:v>3076.2</c:v>
                </c:pt>
                <c:pt idx="346">
                  <c:v>3127.55</c:v>
                </c:pt>
                <c:pt idx="347">
                  <c:v>3098.45</c:v>
                </c:pt>
                <c:pt idx="348">
                  <c:v>2986.95</c:v>
                </c:pt>
                <c:pt idx="349">
                  <c:v>3063.35</c:v>
                </c:pt>
                <c:pt idx="350">
                  <c:v>3087.65</c:v>
                </c:pt>
                <c:pt idx="351">
                  <c:v>3057.5</c:v>
                </c:pt>
                <c:pt idx="352">
                  <c:v>3053.7</c:v>
                </c:pt>
                <c:pt idx="353">
                  <c:v>3079.1</c:v>
                </c:pt>
                <c:pt idx="354">
                  <c:v>3162.7</c:v>
                </c:pt>
                <c:pt idx="355">
                  <c:v>3193.1</c:v>
                </c:pt>
                <c:pt idx="356">
                  <c:v>3076.3</c:v>
                </c:pt>
                <c:pt idx="357">
                  <c:v>3081.7</c:v>
                </c:pt>
                <c:pt idx="358">
                  <c:v>3017.35</c:v>
                </c:pt>
                <c:pt idx="359">
                  <c:v>3010.15</c:v>
                </c:pt>
                <c:pt idx="360">
                  <c:v>3018.95</c:v>
                </c:pt>
                <c:pt idx="361">
                  <c:v>3046.4</c:v>
                </c:pt>
                <c:pt idx="362">
                  <c:v>3026.8</c:v>
                </c:pt>
                <c:pt idx="363">
                  <c:v>3079.35</c:v>
                </c:pt>
                <c:pt idx="364">
                  <c:v>3121.1</c:v>
                </c:pt>
                <c:pt idx="365">
                  <c:v>3086.55</c:v>
                </c:pt>
                <c:pt idx="366">
                  <c:v>3048.5</c:v>
                </c:pt>
                <c:pt idx="367">
                  <c:v>3082</c:v>
                </c:pt>
                <c:pt idx="368">
                  <c:v>3077.25</c:v>
                </c:pt>
                <c:pt idx="369">
                  <c:v>3223.1</c:v>
                </c:pt>
                <c:pt idx="370">
                  <c:v>3198.8</c:v>
                </c:pt>
                <c:pt idx="371">
                  <c:v>3173</c:v>
                </c:pt>
                <c:pt idx="372">
                  <c:v>3179.9</c:v>
                </c:pt>
                <c:pt idx="373">
                  <c:v>3191.45</c:v>
                </c:pt>
                <c:pt idx="374">
                  <c:v>3210.3</c:v>
                </c:pt>
                <c:pt idx="375">
                  <c:v>3221.85</c:v>
                </c:pt>
                <c:pt idx="376">
                  <c:v>3233.2</c:v>
                </c:pt>
                <c:pt idx="377">
                  <c:v>3213.25</c:v>
                </c:pt>
                <c:pt idx="378">
                  <c:v>3231.5</c:v>
                </c:pt>
                <c:pt idx="379">
                  <c:v>3255.45</c:v>
                </c:pt>
                <c:pt idx="380">
                  <c:v>3281.8</c:v>
                </c:pt>
                <c:pt idx="381">
                  <c:v>3327.45</c:v>
                </c:pt>
                <c:pt idx="382">
                  <c:v>3424.8</c:v>
                </c:pt>
                <c:pt idx="383">
                  <c:v>3410.75</c:v>
                </c:pt>
                <c:pt idx="384">
                  <c:v>3490.9</c:v>
                </c:pt>
                <c:pt idx="385">
                  <c:v>3597.7</c:v>
                </c:pt>
                <c:pt idx="386">
                  <c:v>3580.3</c:v>
                </c:pt>
                <c:pt idx="387">
                  <c:v>3552</c:v>
                </c:pt>
                <c:pt idx="388">
                  <c:v>3490.25</c:v>
                </c:pt>
                <c:pt idx="389">
                  <c:v>3368.4</c:v>
                </c:pt>
                <c:pt idx="390">
                  <c:v>3370.75</c:v>
                </c:pt>
                <c:pt idx="391">
                  <c:v>3325.9</c:v>
                </c:pt>
                <c:pt idx="392">
                  <c:v>3319.35</c:v>
                </c:pt>
                <c:pt idx="393">
                  <c:v>3402.15</c:v>
                </c:pt>
                <c:pt idx="394">
                  <c:v>3398.55</c:v>
                </c:pt>
                <c:pt idx="395">
                  <c:v>3356.45</c:v>
                </c:pt>
                <c:pt idx="396">
                  <c:v>3353.35</c:v>
                </c:pt>
                <c:pt idx="397">
                  <c:v>3382.25</c:v>
                </c:pt>
                <c:pt idx="398">
                  <c:v>3357.4</c:v>
                </c:pt>
                <c:pt idx="399">
                  <c:v>3316.9</c:v>
                </c:pt>
                <c:pt idx="400">
                  <c:v>3323.5</c:v>
                </c:pt>
                <c:pt idx="401">
                  <c:v>3322.5</c:v>
                </c:pt>
                <c:pt idx="402">
                  <c:v>3382.75</c:v>
                </c:pt>
                <c:pt idx="403">
                  <c:v>3440.25</c:v>
                </c:pt>
                <c:pt idx="404">
                  <c:v>3487.05</c:v>
                </c:pt>
                <c:pt idx="405">
                  <c:v>3484.05</c:v>
                </c:pt>
                <c:pt idx="406">
                  <c:v>3505.1</c:v>
                </c:pt>
                <c:pt idx="407">
                  <c:v>3470.4</c:v>
                </c:pt>
                <c:pt idx="408">
                  <c:v>3451.65</c:v>
                </c:pt>
                <c:pt idx="409">
                  <c:v>3388.95</c:v>
                </c:pt>
                <c:pt idx="410">
                  <c:v>3253.85</c:v>
                </c:pt>
                <c:pt idx="411">
                  <c:v>3253.15</c:v>
                </c:pt>
                <c:pt idx="412">
                  <c:v>3257.35</c:v>
                </c:pt>
                <c:pt idx="413">
                  <c:v>3309.2</c:v>
                </c:pt>
                <c:pt idx="414">
                  <c:v>3323.05</c:v>
                </c:pt>
                <c:pt idx="415">
                  <c:v>3353.4</c:v>
                </c:pt>
                <c:pt idx="416">
                  <c:v>3396.95</c:v>
                </c:pt>
                <c:pt idx="417">
                  <c:v>3356.25</c:v>
                </c:pt>
                <c:pt idx="418">
                  <c:v>3356.85</c:v>
                </c:pt>
                <c:pt idx="419">
                  <c:v>3401.9</c:v>
                </c:pt>
                <c:pt idx="420">
                  <c:v>3406.1</c:v>
                </c:pt>
                <c:pt idx="421">
                  <c:v>3438.2</c:v>
                </c:pt>
                <c:pt idx="422">
                  <c:v>3508.85</c:v>
                </c:pt>
                <c:pt idx="423">
                  <c:v>3445.75</c:v>
                </c:pt>
                <c:pt idx="424">
                  <c:v>3473.1</c:v>
                </c:pt>
                <c:pt idx="425">
                  <c:v>3475.75</c:v>
                </c:pt>
                <c:pt idx="426">
                  <c:v>3468.2</c:v>
                </c:pt>
                <c:pt idx="427">
                  <c:v>3470.1</c:v>
                </c:pt>
                <c:pt idx="428">
                  <c:v>3441.05</c:v>
                </c:pt>
                <c:pt idx="429">
                  <c:v>3364.45</c:v>
                </c:pt>
                <c:pt idx="430">
                  <c:v>3332.75</c:v>
                </c:pt>
                <c:pt idx="431">
                  <c:v>3306.85</c:v>
                </c:pt>
                <c:pt idx="432">
                  <c:v>3249</c:v>
                </c:pt>
                <c:pt idx="433">
                  <c:v>3212.35</c:v>
                </c:pt>
                <c:pt idx="434">
                  <c:v>3291.65</c:v>
                </c:pt>
                <c:pt idx="435">
                  <c:v>3327.5</c:v>
                </c:pt>
                <c:pt idx="436">
                  <c:v>3309.1</c:v>
                </c:pt>
                <c:pt idx="437">
                  <c:v>3308.7</c:v>
                </c:pt>
                <c:pt idx="438">
                  <c:v>3178.45</c:v>
                </c:pt>
                <c:pt idx="439">
                  <c:v>3224.7</c:v>
                </c:pt>
                <c:pt idx="440">
                  <c:v>3172.3</c:v>
                </c:pt>
                <c:pt idx="441">
                  <c:v>3183.7</c:v>
                </c:pt>
                <c:pt idx="442">
                  <c:v>3187.85</c:v>
                </c:pt>
                <c:pt idx="443">
                  <c:v>3198.45</c:v>
                </c:pt>
                <c:pt idx="444">
                  <c:v>3206.6</c:v>
                </c:pt>
                <c:pt idx="445">
                  <c:v>3186.25</c:v>
                </c:pt>
                <c:pt idx="446">
                  <c:v>3120.85</c:v>
                </c:pt>
                <c:pt idx="447">
                  <c:v>3177.05</c:v>
                </c:pt>
                <c:pt idx="448">
                  <c:v>3230.25</c:v>
                </c:pt>
                <c:pt idx="449">
                  <c:v>3222</c:v>
                </c:pt>
                <c:pt idx="450">
                  <c:v>3293.7</c:v>
                </c:pt>
                <c:pt idx="451">
                  <c:v>3267.05</c:v>
                </c:pt>
                <c:pt idx="452">
                  <c:v>3308.45</c:v>
                </c:pt>
                <c:pt idx="453">
                  <c:v>3283.4</c:v>
                </c:pt>
                <c:pt idx="454">
                  <c:v>3283.05</c:v>
                </c:pt>
                <c:pt idx="455">
                  <c:v>3266.55</c:v>
                </c:pt>
                <c:pt idx="456">
                  <c:v>3330.9</c:v>
                </c:pt>
                <c:pt idx="457">
                  <c:v>3288.6</c:v>
                </c:pt>
                <c:pt idx="458">
                  <c:v>3329.8</c:v>
                </c:pt>
                <c:pt idx="459">
                  <c:v>3363.25</c:v>
                </c:pt>
                <c:pt idx="460">
                  <c:v>3381.45</c:v>
                </c:pt>
                <c:pt idx="461">
                  <c:v>3403.35</c:v>
                </c:pt>
                <c:pt idx="462">
                  <c:v>3471</c:v>
                </c:pt>
                <c:pt idx="463">
                  <c:v>3508.5</c:v>
                </c:pt>
                <c:pt idx="464">
                  <c:v>3497.8</c:v>
                </c:pt>
                <c:pt idx="465">
                  <c:v>3474.4</c:v>
                </c:pt>
                <c:pt idx="466">
                  <c:v>3447.25</c:v>
                </c:pt>
                <c:pt idx="467">
                  <c:v>3493.45</c:v>
                </c:pt>
                <c:pt idx="468">
                  <c:v>3493.35</c:v>
                </c:pt>
                <c:pt idx="469">
                  <c:v>3589.25</c:v>
                </c:pt>
                <c:pt idx="470">
                  <c:v>3670.1</c:v>
                </c:pt>
                <c:pt idx="471">
                  <c:v>3674.95</c:v>
                </c:pt>
                <c:pt idx="472">
                  <c:v>3775.95</c:v>
                </c:pt>
                <c:pt idx="473">
                  <c:v>3823.95</c:v>
                </c:pt>
                <c:pt idx="474">
                  <c:v>3816.7</c:v>
                </c:pt>
                <c:pt idx="475">
                  <c:v>3757.55</c:v>
                </c:pt>
                <c:pt idx="476">
                  <c:v>3737.25</c:v>
                </c:pt>
                <c:pt idx="477">
                  <c:v>3784.9</c:v>
                </c:pt>
                <c:pt idx="478">
                  <c:v>3820.1</c:v>
                </c:pt>
                <c:pt idx="479">
                  <c:v>3797.2</c:v>
                </c:pt>
                <c:pt idx="480">
                  <c:v>3780.95</c:v>
                </c:pt>
                <c:pt idx="481">
                  <c:v>3725.35</c:v>
                </c:pt>
                <c:pt idx="482">
                  <c:v>3767.4</c:v>
                </c:pt>
                <c:pt idx="483">
                  <c:v>3740.65</c:v>
                </c:pt>
                <c:pt idx="484">
                  <c:v>3767</c:v>
                </c:pt>
                <c:pt idx="485">
                  <c:v>3764.25</c:v>
                </c:pt>
                <c:pt idx="486">
                  <c:v>3711.1</c:v>
                </c:pt>
                <c:pt idx="487">
                  <c:v>3727.4</c:v>
                </c:pt>
                <c:pt idx="488">
                  <c:v>3684.55</c:v>
                </c:pt>
                <c:pt idx="489">
                  <c:v>3695.5</c:v>
                </c:pt>
                <c:pt idx="490">
                  <c:v>3722.85</c:v>
                </c:pt>
                <c:pt idx="491">
                  <c:v>3607.7</c:v>
                </c:pt>
                <c:pt idx="492">
                  <c:v>3621.15</c:v>
                </c:pt>
                <c:pt idx="493">
                  <c:v>3587.55</c:v>
                </c:pt>
                <c:pt idx="494">
                  <c:v>3565.15</c:v>
                </c:pt>
                <c:pt idx="495">
                  <c:v>3533.2</c:v>
                </c:pt>
                <c:pt idx="496">
                  <c:v>3527.5</c:v>
                </c:pt>
                <c:pt idx="497">
                  <c:v>3551.25</c:v>
                </c:pt>
                <c:pt idx="498">
                  <c:v>3630.2</c:v>
                </c:pt>
                <c:pt idx="499">
                  <c:v>3570</c:v>
                </c:pt>
                <c:pt idx="500">
                  <c:v>3604.4</c:v>
                </c:pt>
                <c:pt idx="501">
                  <c:v>3560.4</c:v>
                </c:pt>
                <c:pt idx="502">
                  <c:v>3474.9</c:v>
                </c:pt>
                <c:pt idx="503">
                  <c:v>3464.85</c:v>
                </c:pt>
                <c:pt idx="504">
                  <c:v>3444.75</c:v>
                </c:pt>
                <c:pt idx="505">
                  <c:v>3402.15</c:v>
                </c:pt>
                <c:pt idx="506">
                  <c:v>3383.55</c:v>
                </c:pt>
                <c:pt idx="507">
                  <c:v>3320.85</c:v>
                </c:pt>
                <c:pt idx="508">
                  <c:v>3331.7</c:v>
                </c:pt>
                <c:pt idx="509">
                  <c:v>3296.5</c:v>
                </c:pt>
                <c:pt idx="510">
                  <c:v>3326.25</c:v>
                </c:pt>
                <c:pt idx="511">
                  <c:v>3335.1</c:v>
                </c:pt>
                <c:pt idx="512">
                  <c:v>3375.95</c:v>
                </c:pt>
                <c:pt idx="513">
                  <c:v>3462.35</c:v>
                </c:pt>
                <c:pt idx="514">
                  <c:v>3468.35</c:v>
                </c:pt>
                <c:pt idx="515">
                  <c:v>3458.95</c:v>
                </c:pt>
                <c:pt idx="516">
                  <c:v>3468.25</c:v>
                </c:pt>
                <c:pt idx="517">
                  <c:v>3411.7</c:v>
                </c:pt>
                <c:pt idx="518">
                  <c:v>3494.15</c:v>
                </c:pt>
                <c:pt idx="519">
                  <c:v>3405.8</c:v>
                </c:pt>
                <c:pt idx="520">
                  <c:v>3478.4</c:v>
                </c:pt>
                <c:pt idx="521">
                  <c:v>3466.85</c:v>
                </c:pt>
                <c:pt idx="522">
                  <c:v>3254.45</c:v>
                </c:pt>
                <c:pt idx="523">
                  <c:v>3259</c:v>
                </c:pt>
                <c:pt idx="524">
                  <c:v>3262.1</c:v>
                </c:pt>
                <c:pt idx="525">
                  <c:v>3234.05</c:v>
                </c:pt>
                <c:pt idx="526">
                  <c:v>3224.2</c:v>
                </c:pt>
                <c:pt idx="527">
                  <c:v>3229.85</c:v>
                </c:pt>
                <c:pt idx="528">
                  <c:v>3248.6</c:v>
                </c:pt>
                <c:pt idx="529">
                  <c:v>3225</c:v>
                </c:pt>
                <c:pt idx="530">
                  <c:v>3215.15</c:v>
                </c:pt>
                <c:pt idx="531">
                  <c:v>3156.2</c:v>
                </c:pt>
                <c:pt idx="532">
                  <c:v>3269.35</c:v>
                </c:pt>
                <c:pt idx="533">
                  <c:v>3336</c:v>
                </c:pt>
                <c:pt idx="534">
                  <c:v>3360.25</c:v>
                </c:pt>
                <c:pt idx="535">
                  <c:v>3399.65</c:v>
                </c:pt>
                <c:pt idx="536">
                  <c:v>3431.45</c:v>
                </c:pt>
                <c:pt idx="537">
                  <c:v>3404.2</c:v>
                </c:pt>
                <c:pt idx="538">
                  <c:v>3380.6</c:v>
                </c:pt>
                <c:pt idx="539">
                  <c:v>3372.75</c:v>
                </c:pt>
                <c:pt idx="540">
                  <c:v>3402.45</c:v>
                </c:pt>
                <c:pt idx="541">
                  <c:v>3412.35</c:v>
                </c:pt>
                <c:pt idx="542">
                  <c:v>3399.75</c:v>
                </c:pt>
                <c:pt idx="543">
                  <c:v>3435.95</c:v>
                </c:pt>
                <c:pt idx="544">
                  <c:v>3462.35</c:v>
                </c:pt>
                <c:pt idx="545">
                  <c:v>3589</c:v>
                </c:pt>
                <c:pt idx="546">
                  <c:v>3530.05</c:v>
                </c:pt>
                <c:pt idx="547">
                  <c:v>3472.2</c:v>
                </c:pt>
                <c:pt idx="548">
                  <c:v>3382.3</c:v>
                </c:pt>
                <c:pt idx="549">
                  <c:v>3410.7</c:v>
                </c:pt>
                <c:pt idx="550">
                  <c:v>3422.2</c:v>
                </c:pt>
                <c:pt idx="551">
                  <c:v>3444.05</c:v>
                </c:pt>
                <c:pt idx="552">
                  <c:v>3321.65</c:v>
                </c:pt>
                <c:pt idx="553">
                  <c:v>3317.65</c:v>
                </c:pt>
                <c:pt idx="554">
                  <c:v>3238.95</c:v>
                </c:pt>
                <c:pt idx="555">
                  <c:v>3261.2</c:v>
                </c:pt>
                <c:pt idx="556">
                  <c:v>3241.9</c:v>
                </c:pt>
                <c:pt idx="557">
                  <c:v>3271.85</c:v>
                </c:pt>
                <c:pt idx="558">
                  <c:v>3380.4</c:v>
                </c:pt>
                <c:pt idx="559">
                  <c:v>3409.4</c:v>
                </c:pt>
                <c:pt idx="560">
                  <c:v>3403.4</c:v>
                </c:pt>
                <c:pt idx="561">
                  <c:v>3412.4</c:v>
                </c:pt>
                <c:pt idx="562">
                  <c:v>3452.05</c:v>
                </c:pt>
                <c:pt idx="563">
                  <c:v>3383.85</c:v>
                </c:pt>
                <c:pt idx="564">
                  <c:v>3377</c:v>
                </c:pt>
                <c:pt idx="565">
                  <c:v>3362.55</c:v>
                </c:pt>
                <c:pt idx="566">
                  <c:v>3361.15</c:v>
                </c:pt>
                <c:pt idx="567">
                  <c:v>3333.9</c:v>
                </c:pt>
                <c:pt idx="568">
                  <c:v>3268.55</c:v>
                </c:pt>
                <c:pt idx="569">
                  <c:v>3288.9</c:v>
                </c:pt>
                <c:pt idx="570">
                  <c:v>3253.65</c:v>
                </c:pt>
                <c:pt idx="571">
                  <c:v>3289.85</c:v>
                </c:pt>
                <c:pt idx="572">
                  <c:v>3245.7</c:v>
                </c:pt>
                <c:pt idx="573">
                  <c:v>3259.85</c:v>
                </c:pt>
                <c:pt idx="574">
                  <c:v>3270.9</c:v>
                </c:pt>
                <c:pt idx="575">
                  <c:v>3280.15</c:v>
                </c:pt>
                <c:pt idx="576">
                  <c:v>3533.9</c:v>
                </c:pt>
                <c:pt idx="577">
                  <c:v>3568.45</c:v>
                </c:pt>
                <c:pt idx="578">
                  <c:v>3589.25</c:v>
                </c:pt>
                <c:pt idx="579">
                  <c:v>3604.85</c:v>
                </c:pt>
                <c:pt idx="580">
                  <c:v>3584.8</c:v>
                </c:pt>
                <c:pt idx="581">
                  <c:v>3571.1</c:v>
                </c:pt>
                <c:pt idx="582">
                  <c:v>3609.75</c:v>
                </c:pt>
                <c:pt idx="583">
                  <c:v>3633</c:v>
                </c:pt>
                <c:pt idx="584">
                  <c:v>3596.75</c:v>
                </c:pt>
                <c:pt idx="585">
                  <c:v>3563.05</c:v>
                </c:pt>
                <c:pt idx="586">
                  <c:v>3525.1</c:v>
                </c:pt>
                <c:pt idx="587">
                  <c:v>3645.9</c:v>
                </c:pt>
                <c:pt idx="588">
                  <c:v>3600.6</c:v>
                </c:pt>
                <c:pt idx="589">
                  <c:v>3619.3</c:v>
                </c:pt>
                <c:pt idx="590">
                  <c:v>3711.2</c:v>
                </c:pt>
                <c:pt idx="591">
                  <c:v>3679.35</c:v>
                </c:pt>
                <c:pt idx="592">
                  <c:v>3748.9</c:v>
                </c:pt>
                <c:pt idx="593">
                  <c:v>3754.45</c:v>
                </c:pt>
                <c:pt idx="594">
                  <c:v>3782.75</c:v>
                </c:pt>
                <c:pt idx="595">
                  <c:v>3712.5</c:v>
                </c:pt>
                <c:pt idx="596">
                  <c:v>3755.95</c:v>
                </c:pt>
                <c:pt idx="597">
                  <c:v>3738.4</c:v>
                </c:pt>
                <c:pt idx="598">
                  <c:v>3801.8</c:v>
                </c:pt>
                <c:pt idx="599">
                  <c:v>3759.4</c:v>
                </c:pt>
                <c:pt idx="600">
                  <c:v>3698.2</c:v>
                </c:pt>
                <c:pt idx="601">
                  <c:v>3706.7</c:v>
                </c:pt>
                <c:pt idx="602">
                  <c:v>3627.55</c:v>
                </c:pt>
                <c:pt idx="603">
                  <c:v>3590.5</c:v>
                </c:pt>
                <c:pt idx="604">
                  <c:v>3583.4</c:v>
                </c:pt>
                <c:pt idx="605">
                  <c:v>3579.7</c:v>
                </c:pt>
                <c:pt idx="606">
                  <c:v>3633.2</c:v>
                </c:pt>
                <c:pt idx="607">
                  <c:v>3640.15</c:v>
                </c:pt>
                <c:pt idx="608">
                  <c:v>3625.7</c:v>
                </c:pt>
                <c:pt idx="609">
                  <c:v>3748.8</c:v>
                </c:pt>
                <c:pt idx="610">
                  <c:v>3750.15</c:v>
                </c:pt>
                <c:pt idx="611">
                  <c:v>3786.9</c:v>
                </c:pt>
                <c:pt idx="612">
                  <c:v>3810.75</c:v>
                </c:pt>
                <c:pt idx="613">
                  <c:v>3750.75</c:v>
                </c:pt>
                <c:pt idx="614">
                  <c:v>3732.4</c:v>
                </c:pt>
                <c:pt idx="615">
                  <c:v>3765.95</c:v>
                </c:pt>
                <c:pt idx="616">
                  <c:v>3765.9</c:v>
                </c:pt>
                <c:pt idx="617">
                  <c:v>3624.4</c:v>
                </c:pt>
                <c:pt idx="618">
                  <c:v>3594.7</c:v>
                </c:pt>
                <c:pt idx="619">
                  <c:v>3653.85</c:v>
                </c:pt>
                <c:pt idx="620">
                  <c:v>3622.5</c:v>
                </c:pt>
                <c:pt idx="621">
                  <c:v>3691.95</c:v>
                </c:pt>
                <c:pt idx="622">
                  <c:v>3652.05</c:v>
                </c:pt>
                <c:pt idx="623">
                  <c:v>3656.35</c:v>
                </c:pt>
                <c:pt idx="624">
                  <c:v>3686.7</c:v>
                </c:pt>
                <c:pt idx="625">
                  <c:v>3695.05</c:v>
                </c:pt>
                <c:pt idx="626">
                  <c:v>3655.4</c:v>
                </c:pt>
                <c:pt idx="627">
                  <c:v>3622.05</c:v>
                </c:pt>
                <c:pt idx="628">
                  <c:v>3585.55</c:v>
                </c:pt>
                <c:pt idx="629">
                  <c:v>3559.95</c:v>
                </c:pt>
                <c:pt idx="630">
                  <c:v>3585.25</c:v>
                </c:pt>
                <c:pt idx="631">
                  <c:v>3591.6</c:v>
                </c:pt>
                <c:pt idx="632">
                  <c:v>3549.1</c:v>
                </c:pt>
                <c:pt idx="633">
                  <c:v>3576.5</c:v>
                </c:pt>
                <c:pt idx="634">
                  <c:v>3559.15</c:v>
                </c:pt>
                <c:pt idx="635">
                  <c:v>3552.05</c:v>
                </c:pt>
                <c:pt idx="636">
                  <c:v>3612.4</c:v>
                </c:pt>
                <c:pt idx="637">
                  <c:v>3627.45</c:v>
                </c:pt>
                <c:pt idx="638">
                  <c:v>3697.55</c:v>
                </c:pt>
                <c:pt idx="639">
                  <c:v>3735.75</c:v>
                </c:pt>
                <c:pt idx="640">
                  <c:v>3866.65</c:v>
                </c:pt>
                <c:pt idx="641">
                  <c:v>3770.2</c:v>
                </c:pt>
                <c:pt idx="642">
                  <c:v>3767.85</c:v>
                </c:pt>
                <c:pt idx="643">
                  <c:v>3739.65</c:v>
                </c:pt>
                <c:pt idx="644">
                  <c:v>3784.7</c:v>
                </c:pt>
                <c:pt idx="645">
                  <c:v>3810.6</c:v>
                </c:pt>
                <c:pt idx="646">
                  <c:v>3734.7</c:v>
                </c:pt>
                <c:pt idx="647">
                  <c:v>3830.05</c:v>
                </c:pt>
                <c:pt idx="648">
                  <c:v>3820.3</c:v>
                </c:pt>
                <c:pt idx="649">
                  <c:v>3758.85</c:v>
                </c:pt>
                <c:pt idx="650">
                  <c:v>3726</c:v>
                </c:pt>
                <c:pt idx="651">
                  <c:v>3698.6</c:v>
                </c:pt>
                <c:pt idx="652">
                  <c:v>3714.45</c:v>
                </c:pt>
                <c:pt idx="653">
                  <c:v>3694</c:v>
                </c:pt>
                <c:pt idx="654">
                  <c:v>3706.05</c:v>
                </c:pt>
                <c:pt idx="655">
                  <c:v>3712.55</c:v>
                </c:pt>
                <c:pt idx="656">
                  <c:v>3719.7</c:v>
                </c:pt>
                <c:pt idx="657">
                  <c:v>3693.05</c:v>
                </c:pt>
                <c:pt idx="658">
                  <c:v>3698.25</c:v>
                </c:pt>
                <c:pt idx="659">
                  <c:v>3677.15</c:v>
                </c:pt>
                <c:pt idx="660">
                  <c:v>3675.45</c:v>
                </c:pt>
                <c:pt idx="661">
                  <c:v>3715.1</c:v>
                </c:pt>
                <c:pt idx="662">
                  <c:v>3689.25</c:v>
                </c:pt>
                <c:pt idx="663">
                  <c:v>3656.7</c:v>
                </c:pt>
                <c:pt idx="664">
                  <c:v>3627.35</c:v>
                </c:pt>
                <c:pt idx="665">
                  <c:v>3580</c:v>
                </c:pt>
                <c:pt idx="666">
                  <c:v>3554.1</c:v>
                </c:pt>
                <c:pt idx="667">
                  <c:v>3610.45</c:v>
                </c:pt>
                <c:pt idx="668">
                  <c:v>3619.6</c:v>
                </c:pt>
                <c:pt idx="669">
                  <c:v>3600.55</c:v>
                </c:pt>
                <c:pt idx="670">
                  <c:v>3591.4</c:v>
                </c:pt>
                <c:pt idx="671">
                  <c:v>3602.35</c:v>
                </c:pt>
                <c:pt idx="672">
                  <c:v>3571.4</c:v>
                </c:pt>
                <c:pt idx="673">
                  <c:v>3630.5</c:v>
                </c:pt>
                <c:pt idx="674">
                  <c:v>3634.65</c:v>
                </c:pt>
                <c:pt idx="675">
                  <c:v>3585.4</c:v>
                </c:pt>
                <c:pt idx="676">
                  <c:v>3546.9</c:v>
                </c:pt>
                <c:pt idx="677">
                  <c:v>3545.3</c:v>
                </c:pt>
                <c:pt idx="678">
                  <c:v>3488.4</c:v>
                </c:pt>
                <c:pt idx="679">
                  <c:v>3489.5</c:v>
                </c:pt>
                <c:pt idx="680">
                  <c:v>3490.6</c:v>
                </c:pt>
                <c:pt idx="681">
                  <c:v>3429.3</c:v>
                </c:pt>
                <c:pt idx="682">
                  <c:v>3442.4</c:v>
                </c:pt>
                <c:pt idx="683">
                  <c:v>3396.95</c:v>
                </c:pt>
                <c:pt idx="684">
                  <c:v>3408.4</c:v>
                </c:pt>
                <c:pt idx="685">
                  <c:v>3429.85</c:v>
                </c:pt>
                <c:pt idx="686">
                  <c:v>3394.45</c:v>
                </c:pt>
                <c:pt idx="687">
                  <c:v>3345.85</c:v>
                </c:pt>
                <c:pt idx="688">
                  <c:v>3338.85</c:v>
                </c:pt>
                <c:pt idx="689">
                  <c:v>3335.95</c:v>
                </c:pt>
                <c:pt idx="690">
                  <c:v>3295.95</c:v>
                </c:pt>
                <c:pt idx="691">
                  <c:v>3264.75</c:v>
                </c:pt>
                <c:pt idx="692">
                  <c:v>3280.6</c:v>
                </c:pt>
                <c:pt idx="693">
                  <c:v>3256.35</c:v>
                </c:pt>
                <c:pt idx="694">
                  <c:v>3283.75</c:v>
                </c:pt>
                <c:pt idx="695">
                  <c:v>3311.85</c:v>
                </c:pt>
                <c:pt idx="696">
                  <c:v>3270.2</c:v>
                </c:pt>
                <c:pt idx="697">
                  <c:v>3267.05</c:v>
                </c:pt>
                <c:pt idx="698">
                  <c:v>3274.5</c:v>
                </c:pt>
                <c:pt idx="699">
                  <c:v>3201.5</c:v>
                </c:pt>
                <c:pt idx="700">
                  <c:v>3173.4</c:v>
                </c:pt>
                <c:pt idx="701">
                  <c:v>3189.65</c:v>
                </c:pt>
                <c:pt idx="702">
                  <c:v>3116.45</c:v>
                </c:pt>
                <c:pt idx="703">
                  <c:v>3120.7</c:v>
                </c:pt>
                <c:pt idx="704">
                  <c:v>3100.8</c:v>
                </c:pt>
                <c:pt idx="705">
                  <c:v>3187.85</c:v>
                </c:pt>
                <c:pt idx="706">
                  <c:v>3219.75</c:v>
                </c:pt>
                <c:pt idx="707">
                  <c:v>3266.2</c:v>
                </c:pt>
                <c:pt idx="708">
                  <c:v>3284.65</c:v>
                </c:pt>
                <c:pt idx="709">
                  <c:v>3282.75</c:v>
                </c:pt>
                <c:pt idx="710">
                  <c:v>3308.45</c:v>
                </c:pt>
                <c:pt idx="711">
                  <c:v>3301.4</c:v>
                </c:pt>
                <c:pt idx="712">
                  <c:v>3283.75</c:v>
                </c:pt>
                <c:pt idx="713">
                  <c:v>3285</c:v>
                </c:pt>
                <c:pt idx="714">
                  <c:v>3280.5</c:v>
                </c:pt>
                <c:pt idx="715">
                  <c:v>3269.2</c:v>
                </c:pt>
                <c:pt idx="716">
                  <c:v>3267.5</c:v>
                </c:pt>
                <c:pt idx="717">
                  <c:v>3309.75</c:v>
                </c:pt>
                <c:pt idx="718">
                  <c:v>3216.5</c:v>
                </c:pt>
                <c:pt idx="719">
                  <c:v>3166.65</c:v>
                </c:pt>
                <c:pt idx="720">
                  <c:v>3196.25</c:v>
                </c:pt>
                <c:pt idx="721">
                  <c:v>3148.8</c:v>
                </c:pt>
                <c:pt idx="722">
                  <c:v>3157.25</c:v>
                </c:pt>
                <c:pt idx="723">
                  <c:v>3214.55</c:v>
                </c:pt>
                <c:pt idx="724">
                  <c:v>3262.6</c:v>
                </c:pt>
                <c:pt idx="725">
                  <c:v>3283.95</c:v>
                </c:pt>
                <c:pt idx="726">
                  <c:v>3274.5</c:v>
                </c:pt>
                <c:pt idx="727">
                  <c:v>3304.5</c:v>
                </c:pt>
                <c:pt idx="728">
                  <c:v>3306.65</c:v>
                </c:pt>
                <c:pt idx="729">
                  <c:v>3339.5</c:v>
                </c:pt>
                <c:pt idx="730">
                  <c:v>3248.6</c:v>
                </c:pt>
                <c:pt idx="731">
                  <c:v>3261.35</c:v>
                </c:pt>
                <c:pt idx="732">
                  <c:v>3263.2</c:v>
                </c:pt>
                <c:pt idx="733">
                  <c:v>3185.8</c:v>
                </c:pt>
                <c:pt idx="734">
                  <c:v>3213.3</c:v>
                </c:pt>
                <c:pt idx="735">
                  <c:v>3199.1</c:v>
                </c:pt>
                <c:pt idx="736">
                  <c:v>3172.8</c:v>
                </c:pt>
                <c:pt idx="737">
                  <c:v>3176.05</c:v>
                </c:pt>
                <c:pt idx="738">
                  <c:v>3136.15</c:v>
                </c:pt>
                <c:pt idx="739">
                  <c:v>3100.3</c:v>
                </c:pt>
                <c:pt idx="740">
                  <c:v>3116.8</c:v>
                </c:pt>
                <c:pt idx="741">
                  <c:v>3104.45</c:v>
                </c:pt>
                <c:pt idx="742">
                  <c:v>3082.2</c:v>
                </c:pt>
                <c:pt idx="743">
                  <c:v>3079.4</c:v>
                </c:pt>
                <c:pt idx="744">
                  <c:v>3048.55</c:v>
                </c:pt>
                <c:pt idx="745">
                  <c:v>3067.2</c:v>
                </c:pt>
                <c:pt idx="746">
                  <c:v>3061.2</c:v>
                </c:pt>
                <c:pt idx="747">
                  <c:v>3070</c:v>
                </c:pt>
                <c:pt idx="748">
                  <c:v>3075.6</c:v>
                </c:pt>
                <c:pt idx="749">
                  <c:v>3078.3</c:v>
                </c:pt>
                <c:pt idx="750">
                  <c:v>3050.45</c:v>
                </c:pt>
                <c:pt idx="751">
                  <c:v>3071.75</c:v>
                </c:pt>
                <c:pt idx="752">
                  <c:v>3011.1</c:v>
                </c:pt>
                <c:pt idx="753">
                  <c:v>3010.65</c:v>
                </c:pt>
                <c:pt idx="754">
                  <c:v>3017.25</c:v>
                </c:pt>
                <c:pt idx="755">
                  <c:v>2988.55</c:v>
                </c:pt>
                <c:pt idx="756">
                  <c:v>2955.9</c:v>
                </c:pt>
                <c:pt idx="757">
                  <c:v>2921.25</c:v>
                </c:pt>
                <c:pt idx="758">
                  <c:v>2904.6</c:v>
                </c:pt>
                <c:pt idx="759">
                  <c:v>2904.4</c:v>
                </c:pt>
                <c:pt idx="760">
                  <c:v>2902.1</c:v>
                </c:pt>
                <c:pt idx="761">
                  <c:v>2977.15</c:v>
                </c:pt>
                <c:pt idx="762">
                  <c:v>3001.9</c:v>
                </c:pt>
                <c:pt idx="763">
                  <c:v>3004.05</c:v>
                </c:pt>
                <c:pt idx="764">
                  <c:v>2987</c:v>
                </c:pt>
                <c:pt idx="765">
                  <c:v>3002.1</c:v>
                </c:pt>
                <c:pt idx="766">
                  <c:v>3008.35</c:v>
                </c:pt>
                <c:pt idx="767">
                  <c:v>3029</c:v>
                </c:pt>
                <c:pt idx="768">
                  <c:v>2979.2</c:v>
                </c:pt>
                <c:pt idx="769">
                  <c:v>2976.3</c:v>
                </c:pt>
                <c:pt idx="770">
                  <c:v>2989.3</c:v>
                </c:pt>
                <c:pt idx="771">
                  <c:v>2995.65</c:v>
                </c:pt>
                <c:pt idx="772">
                  <c:v>2996.45</c:v>
                </c:pt>
                <c:pt idx="773">
                  <c:v>3033.45</c:v>
                </c:pt>
                <c:pt idx="774">
                  <c:v>3055.55</c:v>
                </c:pt>
                <c:pt idx="775">
                  <c:v>3084.75</c:v>
                </c:pt>
                <c:pt idx="776">
                  <c:v>3096.5</c:v>
                </c:pt>
                <c:pt idx="777">
                  <c:v>3087.6</c:v>
                </c:pt>
                <c:pt idx="778">
                  <c:v>3045.55</c:v>
                </c:pt>
                <c:pt idx="779">
                  <c:v>3144</c:v>
                </c:pt>
                <c:pt idx="780">
                  <c:v>3106.4</c:v>
                </c:pt>
                <c:pt idx="781">
                  <c:v>3099.85</c:v>
                </c:pt>
                <c:pt idx="782">
                  <c:v>3074.65</c:v>
                </c:pt>
                <c:pt idx="783">
                  <c:v>3038.3</c:v>
                </c:pt>
                <c:pt idx="784">
                  <c:v>3047.65</c:v>
                </c:pt>
                <c:pt idx="785">
                  <c:v>3028.1</c:v>
                </c:pt>
                <c:pt idx="786">
                  <c:v>2975.7</c:v>
                </c:pt>
                <c:pt idx="787">
                  <c:v>2972.6</c:v>
                </c:pt>
                <c:pt idx="788">
                  <c:v>2939.15</c:v>
                </c:pt>
                <c:pt idx="789">
                  <c:v>2970.25</c:v>
                </c:pt>
                <c:pt idx="790">
                  <c:v>2971.1</c:v>
                </c:pt>
                <c:pt idx="791">
                  <c:v>2974</c:v>
                </c:pt>
                <c:pt idx="792">
                  <c:v>2968.6</c:v>
                </c:pt>
                <c:pt idx="793">
                  <c:v>2954.3</c:v>
                </c:pt>
                <c:pt idx="794">
                  <c:v>2908</c:v>
                </c:pt>
                <c:pt idx="795">
                  <c:v>2907.05</c:v>
                </c:pt>
                <c:pt idx="796">
                  <c:v>2912.5</c:v>
                </c:pt>
                <c:pt idx="797">
                  <c:v>2852.6</c:v>
                </c:pt>
                <c:pt idx="798">
                  <c:v>2876.25</c:v>
                </c:pt>
                <c:pt idx="799">
                  <c:v>2877</c:v>
                </c:pt>
                <c:pt idx="800">
                  <c:v>2906.95</c:v>
                </c:pt>
                <c:pt idx="801">
                  <c:v>2881.45</c:v>
                </c:pt>
                <c:pt idx="802">
                  <c:v>2855.7</c:v>
                </c:pt>
                <c:pt idx="803">
                  <c:v>2861.65</c:v>
                </c:pt>
                <c:pt idx="804">
                  <c:v>2827.25</c:v>
                </c:pt>
                <c:pt idx="805">
                  <c:v>2823.25</c:v>
                </c:pt>
                <c:pt idx="806">
                  <c:v>2802.5</c:v>
                </c:pt>
                <c:pt idx="807">
                  <c:v>2812.25</c:v>
                </c:pt>
                <c:pt idx="808">
                  <c:v>2742.15</c:v>
                </c:pt>
                <c:pt idx="809">
                  <c:v>2707.95</c:v>
                </c:pt>
                <c:pt idx="810">
                  <c:v>2707.25</c:v>
                </c:pt>
                <c:pt idx="811">
                  <c:v>2683.45</c:v>
                </c:pt>
                <c:pt idx="812">
                  <c:v>2712.55</c:v>
                </c:pt>
                <c:pt idx="813">
                  <c:v>2701.65</c:v>
                </c:pt>
                <c:pt idx="814">
                  <c:v>2721.85</c:v>
                </c:pt>
                <c:pt idx="815">
                  <c:v>2762.4</c:v>
                </c:pt>
                <c:pt idx="816">
                  <c:v>2790.25</c:v>
                </c:pt>
                <c:pt idx="817">
                  <c:v>2779.55</c:v>
                </c:pt>
                <c:pt idx="818">
                  <c:v>2773.2</c:v>
                </c:pt>
                <c:pt idx="819">
                  <c:v>2757.85</c:v>
                </c:pt>
                <c:pt idx="820">
                  <c:v>2745.45</c:v>
                </c:pt>
                <c:pt idx="821">
                  <c:v>2748.4</c:v>
                </c:pt>
                <c:pt idx="822">
                  <c:v>2751.25</c:v>
                </c:pt>
                <c:pt idx="823">
                  <c:v>2732.9</c:v>
                </c:pt>
                <c:pt idx="824">
                  <c:v>2670.4</c:v>
                </c:pt>
                <c:pt idx="825">
                  <c:v>2654.05</c:v>
                </c:pt>
                <c:pt idx="826">
                  <c:v>2663.85</c:v>
                </c:pt>
                <c:pt idx="827">
                  <c:v>2641.85</c:v>
                </c:pt>
                <c:pt idx="828">
                  <c:v>2663.45</c:v>
                </c:pt>
                <c:pt idx="829">
                  <c:v>2641</c:v>
                </c:pt>
                <c:pt idx="830">
                  <c:v>2633.2</c:v>
                </c:pt>
                <c:pt idx="831">
                  <c:v>2629.55</c:v>
                </c:pt>
                <c:pt idx="832">
                  <c:v>2568.3000000000002</c:v>
                </c:pt>
                <c:pt idx="833">
                  <c:v>2579.25</c:v>
                </c:pt>
                <c:pt idx="834">
                  <c:v>2569.3000000000002</c:v>
                </c:pt>
                <c:pt idx="835">
                  <c:v>2577.6999999999998</c:v>
                </c:pt>
                <c:pt idx="836">
                  <c:v>2605.6</c:v>
                </c:pt>
                <c:pt idx="837">
                  <c:v>2585.65</c:v>
                </c:pt>
                <c:pt idx="838">
                  <c:v>2587.9</c:v>
                </c:pt>
                <c:pt idx="839">
                  <c:v>2580.0500000000002</c:v>
                </c:pt>
                <c:pt idx="840">
                  <c:v>2583.6999999999998</c:v>
                </c:pt>
                <c:pt idx="841">
                  <c:v>2548.4499999999998</c:v>
                </c:pt>
                <c:pt idx="842">
                  <c:v>2572.6999999999998</c:v>
                </c:pt>
                <c:pt idx="843">
                  <c:v>2537.4</c:v>
                </c:pt>
                <c:pt idx="844">
                  <c:v>2514.9</c:v>
                </c:pt>
                <c:pt idx="845">
                  <c:v>2515.0500000000002</c:v>
                </c:pt>
                <c:pt idx="846">
                  <c:v>2500.3000000000002</c:v>
                </c:pt>
                <c:pt idx="847">
                  <c:v>2494.4</c:v>
                </c:pt>
                <c:pt idx="848">
                  <c:v>2493.35</c:v>
                </c:pt>
                <c:pt idx="849">
                  <c:v>2519.0500000000002</c:v>
                </c:pt>
                <c:pt idx="850">
                  <c:v>2508.15</c:v>
                </c:pt>
                <c:pt idx="851">
                  <c:v>2514.0500000000002</c:v>
                </c:pt>
                <c:pt idx="852">
                  <c:v>2459.9499999999998</c:v>
                </c:pt>
                <c:pt idx="853">
                  <c:v>2455.65</c:v>
                </c:pt>
                <c:pt idx="854">
                  <c:v>2450.35</c:v>
                </c:pt>
                <c:pt idx="855">
                  <c:v>2399.1</c:v>
                </c:pt>
                <c:pt idx="856">
                  <c:v>2355.6</c:v>
                </c:pt>
                <c:pt idx="857">
                  <c:v>2332</c:v>
                </c:pt>
                <c:pt idx="858">
                  <c:v>2375.5</c:v>
                </c:pt>
                <c:pt idx="859">
                  <c:v>2368.25</c:v>
                </c:pt>
                <c:pt idx="860">
                  <c:v>2397.1</c:v>
                </c:pt>
                <c:pt idx="861">
                  <c:v>2403.4499999999998</c:v>
                </c:pt>
                <c:pt idx="862">
                  <c:v>2396.1</c:v>
                </c:pt>
                <c:pt idx="863">
                  <c:v>2358.9499999999998</c:v>
                </c:pt>
                <c:pt idx="864">
                  <c:v>2382.4</c:v>
                </c:pt>
                <c:pt idx="865">
                  <c:v>2372.8000000000002</c:v>
                </c:pt>
                <c:pt idx="866">
                  <c:v>2401</c:v>
                </c:pt>
                <c:pt idx="867">
                  <c:v>2399.1</c:v>
                </c:pt>
                <c:pt idx="868">
                  <c:v>2394.5</c:v>
                </c:pt>
                <c:pt idx="869">
                  <c:v>2431.5500000000002</c:v>
                </c:pt>
                <c:pt idx="870">
                  <c:v>2463.6</c:v>
                </c:pt>
                <c:pt idx="871">
                  <c:v>2474.15</c:v>
                </c:pt>
                <c:pt idx="872">
                  <c:v>2500.3000000000002</c:v>
                </c:pt>
                <c:pt idx="873">
                  <c:v>2522.4</c:v>
                </c:pt>
                <c:pt idx="874">
                  <c:v>2524.3000000000002</c:v>
                </c:pt>
                <c:pt idx="875">
                  <c:v>2506.9</c:v>
                </c:pt>
                <c:pt idx="876">
                  <c:v>2519.0500000000002</c:v>
                </c:pt>
                <c:pt idx="877">
                  <c:v>2468.5</c:v>
                </c:pt>
                <c:pt idx="878">
                  <c:v>2462.5500000000002</c:v>
                </c:pt>
                <c:pt idx="879">
                  <c:v>2466.75</c:v>
                </c:pt>
                <c:pt idx="880">
                  <c:v>2446.9</c:v>
                </c:pt>
                <c:pt idx="881">
                  <c:v>2458</c:v>
                </c:pt>
                <c:pt idx="882">
                  <c:v>2463.1</c:v>
                </c:pt>
                <c:pt idx="883">
                  <c:v>2308.1</c:v>
                </c:pt>
                <c:pt idx="884">
                  <c:v>2345.9</c:v>
                </c:pt>
                <c:pt idx="885">
                  <c:v>2377.15</c:v>
                </c:pt>
                <c:pt idx="886">
                  <c:v>2335.5500000000002</c:v>
                </c:pt>
                <c:pt idx="887">
                  <c:v>2331.25</c:v>
                </c:pt>
                <c:pt idx="888">
                  <c:v>2356.6</c:v>
                </c:pt>
                <c:pt idx="889">
                  <c:v>2370.75</c:v>
                </c:pt>
                <c:pt idx="890">
                  <c:v>2364.6999999999998</c:v>
                </c:pt>
                <c:pt idx="891">
                  <c:v>2371.3000000000002</c:v>
                </c:pt>
                <c:pt idx="892">
                  <c:v>2385.0500000000002</c:v>
                </c:pt>
                <c:pt idx="893">
                  <c:v>2424.1</c:v>
                </c:pt>
                <c:pt idx="894">
                  <c:v>2407.9499999999998</c:v>
                </c:pt>
                <c:pt idx="895">
                  <c:v>2405.85</c:v>
                </c:pt>
                <c:pt idx="896">
                  <c:v>2417.1999999999998</c:v>
                </c:pt>
                <c:pt idx="897">
                  <c:v>2446.6</c:v>
                </c:pt>
                <c:pt idx="898">
                  <c:v>2437.4</c:v>
                </c:pt>
                <c:pt idx="899">
                  <c:v>2468.1999999999998</c:v>
                </c:pt>
                <c:pt idx="900">
                  <c:v>2484.65</c:v>
                </c:pt>
                <c:pt idx="901">
                  <c:v>2538.1</c:v>
                </c:pt>
                <c:pt idx="902">
                  <c:v>2562.1</c:v>
                </c:pt>
                <c:pt idx="903">
                  <c:v>2597.5500000000002</c:v>
                </c:pt>
                <c:pt idx="904">
                  <c:v>2613.6</c:v>
                </c:pt>
                <c:pt idx="905">
                  <c:v>2565.75</c:v>
                </c:pt>
                <c:pt idx="906">
                  <c:v>2597.5</c:v>
                </c:pt>
                <c:pt idx="907">
                  <c:v>2553.25</c:v>
                </c:pt>
                <c:pt idx="908">
                  <c:v>2580.15</c:v>
                </c:pt>
                <c:pt idx="909">
                  <c:v>2503.5500000000002</c:v>
                </c:pt>
                <c:pt idx="910">
                  <c:v>2481.1</c:v>
                </c:pt>
                <c:pt idx="911">
                  <c:v>2483.0500000000002</c:v>
                </c:pt>
                <c:pt idx="912">
                  <c:v>2483</c:v>
                </c:pt>
                <c:pt idx="913">
                  <c:v>2489.6</c:v>
                </c:pt>
                <c:pt idx="914">
                  <c:v>2508.15</c:v>
                </c:pt>
                <c:pt idx="915">
                  <c:v>2521.8000000000002</c:v>
                </c:pt>
                <c:pt idx="916">
                  <c:v>2482.85</c:v>
                </c:pt>
                <c:pt idx="917">
                  <c:v>2522.6999999999998</c:v>
                </c:pt>
                <c:pt idx="918">
                  <c:v>2591.1</c:v>
                </c:pt>
                <c:pt idx="919">
                  <c:v>2575.9</c:v>
                </c:pt>
                <c:pt idx="920">
                  <c:v>2584.65</c:v>
                </c:pt>
                <c:pt idx="921">
                  <c:v>2615.4499999999998</c:v>
                </c:pt>
                <c:pt idx="922">
                  <c:v>2583.5</c:v>
                </c:pt>
                <c:pt idx="923">
                  <c:v>2596.85</c:v>
                </c:pt>
                <c:pt idx="924">
                  <c:v>2617</c:v>
                </c:pt>
                <c:pt idx="925">
                  <c:v>2615.65</c:v>
                </c:pt>
                <c:pt idx="926">
                  <c:v>2617.9</c:v>
                </c:pt>
                <c:pt idx="927">
                  <c:v>2638.7</c:v>
                </c:pt>
                <c:pt idx="928">
                  <c:v>2653</c:v>
                </c:pt>
                <c:pt idx="929">
                  <c:v>2613.75</c:v>
                </c:pt>
                <c:pt idx="930">
                  <c:v>2592.25</c:v>
                </c:pt>
                <c:pt idx="931">
                  <c:v>2595.4</c:v>
                </c:pt>
                <c:pt idx="932">
                  <c:v>2610.1999999999998</c:v>
                </c:pt>
                <c:pt idx="933">
                  <c:v>2601.75</c:v>
                </c:pt>
                <c:pt idx="934">
                  <c:v>2606.1999999999998</c:v>
                </c:pt>
                <c:pt idx="935">
                  <c:v>2573.35</c:v>
                </c:pt>
                <c:pt idx="936">
                  <c:v>2565.8000000000002</c:v>
                </c:pt>
                <c:pt idx="937">
                  <c:v>2582</c:v>
                </c:pt>
                <c:pt idx="938">
                  <c:v>2644.3</c:v>
                </c:pt>
                <c:pt idx="939">
                  <c:v>2656.65</c:v>
                </c:pt>
                <c:pt idx="940">
                  <c:v>2629.8</c:v>
                </c:pt>
                <c:pt idx="941">
                  <c:v>2651.8</c:v>
                </c:pt>
                <c:pt idx="942">
                  <c:v>2641</c:v>
                </c:pt>
                <c:pt idx="943">
                  <c:v>2718.1</c:v>
                </c:pt>
                <c:pt idx="944">
                  <c:v>2741.55</c:v>
                </c:pt>
                <c:pt idx="945">
                  <c:v>2769.7</c:v>
                </c:pt>
                <c:pt idx="946">
                  <c:v>2763.65</c:v>
                </c:pt>
                <c:pt idx="947">
                  <c:v>2728.45</c:v>
                </c:pt>
                <c:pt idx="948">
                  <c:v>2754.95</c:v>
                </c:pt>
                <c:pt idx="949">
                  <c:v>2761.5</c:v>
                </c:pt>
                <c:pt idx="950">
                  <c:v>2736.4</c:v>
                </c:pt>
                <c:pt idx="951">
                  <c:v>2703.8</c:v>
                </c:pt>
                <c:pt idx="952">
                  <c:v>2670.3</c:v>
                </c:pt>
                <c:pt idx="953">
                  <c:v>2683.9</c:v>
                </c:pt>
                <c:pt idx="954">
                  <c:v>2665.65</c:v>
                </c:pt>
                <c:pt idx="955">
                  <c:v>2631.5</c:v>
                </c:pt>
                <c:pt idx="956">
                  <c:v>2644.55</c:v>
                </c:pt>
                <c:pt idx="957">
                  <c:v>2641.1</c:v>
                </c:pt>
                <c:pt idx="958">
                  <c:v>2625</c:v>
                </c:pt>
                <c:pt idx="959">
                  <c:v>2617.8000000000002</c:v>
                </c:pt>
                <c:pt idx="960">
                  <c:v>2598.65</c:v>
                </c:pt>
                <c:pt idx="961">
                  <c:v>2621.35</c:v>
                </c:pt>
                <c:pt idx="962">
                  <c:v>2624.5</c:v>
                </c:pt>
                <c:pt idx="963">
                  <c:v>2680.1</c:v>
                </c:pt>
                <c:pt idx="964">
                  <c:v>2730.5</c:v>
                </c:pt>
                <c:pt idx="965">
                  <c:v>2592.85</c:v>
                </c:pt>
                <c:pt idx="966">
                  <c:v>2585.1</c:v>
                </c:pt>
                <c:pt idx="967">
                  <c:v>2574.1999999999998</c:v>
                </c:pt>
                <c:pt idx="968">
                  <c:v>2606.9499999999998</c:v>
                </c:pt>
                <c:pt idx="969">
                  <c:v>2531.5</c:v>
                </c:pt>
                <c:pt idx="970">
                  <c:v>2576.9499999999998</c:v>
                </c:pt>
                <c:pt idx="971">
                  <c:v>2600.35</c:v>
                </c:pt>
                <c:pt idx="972">
                  <c:v>2655.5</c:v>
                </c:pt>
                <c:pt idx="973">
                  <c:v>2672.45</c:v>
                </c:pt>
                <c:pt idx="974">
                  <c:v>2737.6</c:v>
                </c:pt>
                <c:pt idx="975">
                  <c:v>2666.65</c:v>
                </c:pt>
                <c:pt idx="976">
                  <c:v>2684</c:v>
                </c:pt>
                <c:pt idx="977">
                  <c:v>2619.8000000000002</c:v>
                </c:pt>
                <c:pt idx="978">
                  <c:v>2611.8000000000002</c:v>
                </c:pt>
                <c:pt idx="979">
                  <c:v>2656.15</c:v>
                </c:pt>
                <c:pt idx="980">
                  <c:v>2700.6</c:v>
                </c:pt>
                <c:pt idx="981">
                  <c:v>2705.55</c:v>
                </c:pt>
                <c:pt idx="982">
                  <c:v>2661.15</c:v>
                </c:pt>
                <c:pt idx="983">
                  <c:v>2603.4499999999998</c:v>
                </c:pt>
                <c:pt idx="984">
                  <c:v>2626.7</c:v>
                </c:pt>
                <c:pt idx="985">
                  <c:v>2637.75</c:v>
                </c:pt>
                <c:pt idx="986">
                  <c:v>2631.65</c:v>
                </c:pt>
                <c:pt idx="987">
                  <c:v>2627.35</c:v>
                </c:pt>
                <c:pt idx="988">
                  <c:v>2612.6</c:v>
                </c:pt>
                <c:pt idx="989">
                  <c:v>2622</c:v>
                </c:pt>
                <c:pt idx="990">
                  <c:v>2604.65</c:v>
                </c:pt>
                <c:pt idx="991">
                  <c:v>2531.6999999999998</c:v>
                </c:pt>
                <c:pt idx="992">
                  <c:v>2532.9</c:v>
                </c:pt>
                <c:pt idx="993">
                  <c:v>2466.4499999999998</c:v>
                </c:pt>
                <c:pt idx="994">
                  <c:v>2460.6999999999998</c:v>
                </c:pt>
                <c:pt idx="995">
                  <c:v>2480.1999999999998</c:v>
                </c:pt>
                <c:pt idx="996">
                  <c:v>2417.6</c:v>
                </c:pt>
                <c:pt idx="997">
                  <c:v>2440.6</c:v>
                </c:pt>
                <c:pt idx="998">
                  <c:v>2478.6999999999998</c:v>
                </c:pt>
                <c:pt idx="999">
                  <c:v>2492.1999999999998</c:v>
                </c:pt>
                <c:pt idx="1000">
                  <c:v>2493.85</c:v>
                </c:pt>
                <c:pt idx="1001">
                  <c:v>2471.9499999999998</c:v>
                </c:pt>
                <c:pt idx="1002">
                  <c:v>2472.35</c:v>
                </c:pt>
                <c:pt idx="1003">
                  <c:v>2433.6</c:v>
                </c:pt>
                <c:pt idx="1004">
                  <c:v>2446.9499999999998</c:v>
                </c:pt>
                <c:pt idx="1005">
                  <c:v>2432.8000000000002</c:v>
                </c:pt>
                <c:pt idx="1006">
                  <c:v>2423.65</c:v>
                </c:pt>
                <c:pt idx="1007">
                  <c:v>2416.4</c:v>
                </c:pt>
                <c:pt idx="1008">
                  <c:v>2384.9499999999998</c:v>
                </c:pt>
                <c:pt idx="1009">
                  <c:v>2376.25</c:v>
                </c:pt>
                <c:pt idx="1010">
                  <c:v>2352.0500000000002</c:v>
                </c:pt>
                <c:pt idx="1011">
                  <c:v>2334.65</c:v>
                </c:pt>
                <c:pt idx="1012">
                  <c:v>2303.5500000000002</c:v>
                </c:pt>
                <c:pt idx="1013">
                  <c:v>2293.1999999999998</c:v>
                </c:pt>
                <c:pt idx="1014">
                  <c:v>2328.85</c:v>
                </c:pt>
                <c:pt idx="1015">
                  <c:v>2325</c:v>
                </c:pt>
                <c:pt idx="1016">
                  <c:v>2288.6</c:v>
                </c:pt>
                <c:pt idx="1017">
                  <c:v>2271.1999999999998</c:v>
                </c:pt>
                <c:pt idx="1018">
                  <c:v>2241.1999999999998</c:v>
                </c:pt>
                <c:pt idx="1019">
                  <c:v>2237.4499999999998</c:v>
                </c:pt>
                <c:pt idx="1020">
                  <c:v>2189.6999999999998</c:v>
                </c:pt>
                <c:pt idx="1021">
                  <c:v>2127.4499999999998</c:v>
                </c:pt>
                <c:pt idx="1022">
                  <c:v>2111.4</c:v>
                </c:pt>
                <c:pt idx="1023">
                  <c:v>2130</c:v>
                </c:pt>
                <c:pt idx="1024">
                  <c:v>2163.6</c:v>
                </c:pt>
                <c:pt idx="1025">
                  <c:v>2144.35</c:v>
                </c:pt>
                <c:pt idx="1026">
                  <c:v>2127.5</c:v>
                </c:pt>
                <c:pt idx="1027">
                  <c:v>2013.55</c:v>
                </c:pt>
                <c:pt idx="1028">
                  <c:v>1954.25</c:v>
                </c:pt>
                <c:pt idx="1029">
                  <c:v>1962.5</c:v>
                </c:pt>
                <c:pt idx="1030">
                  <c:v>1946.2</c:v>
                </c:pt>
                <c:pt idx="1031">
                  <c:v>1941.25</c:v>
                </c:pt>
                <c:pt idx="1032">
                  <c:v>1936.15</c:v>
                </c:pt>
                <c:pt idx="1033">
                  <c:v>1968.05</c:v>
                </c:pt>
                <c:pt idx="1034">
                  <c:v>2040.3</c:v>
                </c:pt>
                <c:pt idx="1035">
                  <c:v>2045.6</c:v>
                </c:pt>
                <c:pt idx="1036">
                  <c:v>2041.4</c:v>
                </c:pt>
                <c:pt idx="1037">
                  <c:v>2031.2</c:v>
                </c:pt>
                <c:pt idx="1038">
                  <c:v>2078.1</c:v>
                </c:pt>
                <c:pt idx="1039">
                  <c:v>1961.7</c:v>
                </c:pt>
                <c:pt idx="1040">
                  <c:v>1936.45</c:v>
                </c:pt>
                <c:pt idx="1041">
                  <c:v>2060.9499999999998</c:v>
                </c:pt>
                <c:pt idx="1042">
                  <c:v>2105.0500000000002</c:v>
                </c:pt>
                <c:pt idx="1043">
                  <c:v>2102</c:v>
                </c:pt>
                <c:pt idx="1044">
                  <c:v>2102.4</c:v>
                </c:pt>
                <c:pt idx="1045">
                  <c:v>2142.25</c:v>
                </c:pt>
                <c:pt idx="1046">
                  <c:v>2139.6999999999998</c:v>
                </c:pt>
                <c:pt idx="1047">
                  <c:v>2128.85</c:v>
                </c:pt>
                <c:pt idx="1048">
                  <c:v>2100.8000000000002</c:v>
                </c:pt>
                <c:pt idx="1049">
                  <c:v>2198.5500000000002</c:v>
                </c:pt>
                <c:pt idx="1050">
                  <c:v>2204.4</c:v>
                </c:pt>
                <c:pt idx="1051">
                  <c:v>2220.9499999999998</c:v>
                </c:pt>
                <c:pt idx="1052">
                  <c:v>2197.6</c:v>
                </c:pt>
                <c:pt idx="1053">
                  <c:v>2216</c:v>
                </c:pt>
                <c:pt idx="1054">
                  <c:v>2255.9</c:v>
                </c:pt>
                <c:pt idx="1055">
                  <c:v>2149.1999999999998</c:v>
                </c:pt>
                <c:pt idx="1056">
                  <c:v>2141.9499999999998</c:v>
                </c:pt>
                <c:pt idx="1057">
                  <c:v>2113.4</c:v>
                </c:pt>
                <c:pt idx="1058">
                  <c:v>2140.25</c:v>
                </c:pt>
                <c:pt idx="1059">
                  <c:v>2151.3000000000002</c:v>
                </c:pt>
                <c:pt idx="1060">
                  <c:v>2137.0500000000002</c:v>
                </c:pt>
                <c:pt idx="1061">
                  <c:v>2111.9499999999998</c:v>
                </c:pt>
                <c:pt idx="1062">
                  <c:v>2166.75</c:v>
                </c:pt>
                <c:pt idx="1063">
                  <c:v>2176.35</c:v>
                </c:pt>
                <c:pt idx="1064">
                  <c:v>2109.6</c:v>
                </c:pt>
                <c:pt idx="1065">
                  <c:v>2091.6999999999998</c:v>
                </c:pt>
                <c:pt idx="1066">
                  <c:v>2048.5500000000002</c:v>
                </c:pt>
                <c:pt idx="1067">
                  <c:v>2114.6999999999998</c:v>
                </c:pt>
                <c:pt idx="1068">
                  <c:v>2137.35</c:v>
                </c:pt>
                <c:pt idx="1069">
                  <c:v>2183.1999999999998</c:v>
                </c:pt>
                <c:pt idx="1070">
                  <c:v>2208.75</c:v>
                </c:pt>
                <c:pt idx="1071">
                  <c:v>2262</c:v>
                </c:pt>
                <c:pt idx="1072">
                  <c:v>2289.9499999999998</c:v>
                </c:pt>
                <c:pt idx="1073">
                  <c:v>2386.5500000000002</c:v>
                </c:pt>
                <c:pt idx="1074">
                  <c:v>2458.1999999999998</c:v>
                </c:pt>
                <c:pt idx="1075">
                  <c:v>2513.1999999999998</c:v>
                </c:pt>
                <c:pt idx="1076">
                  <c:v>2492.35</c:v>
                </c:pt>
                <c:pt idx="1077">
                  <c:v>2548.1999999999998</c:v>
                </c:pt>
                <c:pt idx="1078">
                  <c:v>2453.9</c:v>
                </c:pt>
                <c:pt idx="1079">
                  <c:v>2512.6999999999998</c:v>
                </c:pt>
                <c:pt idx="1080">
                  <c:v>2521</c:v>
                </c:pt>
                <c:pt idx="1081">
                  <c:v>2482.6999999999998</c:v>
                </c:pt>
                <c:pt idx="1082">
                  <c:v>2452.6</c:v>
                </c:pt>
                <c:pt idx="1083">
                  <c:v>2493.4499999999998</c:v>
                </c:pt>
                <c:pt idx="1084">
                  <c:v>2461.35</c:v>
                </c:pt>
                <c:pt idx="1085">
                  <c:v>2488.1999999999998</c:v>
                </c:pt>
                <c:pt idx="1086">
                  <c:v>2489.85</c:v>
                </c:pt>
                <c:pt idx="1087">
                  <c:v>2509.9499999999998</c:v>
                </c:pt>
                <c:pt idx="1088">
                  <c:v>2458.35</c:v>
                </c:pt>
                <c:pt idx="1089">
                  <c:v>2540.0500000000002</c:v>
                </c:pt>
                <c:pt idx="1090">
                  <c:v>2549.1999999999998</c:v>
                </c:pt>
                <c:pt idx="1091">
                  <c:v>2517</c:v>
                </c:pt>
                <c:pt idx="1092">
                  <c:v>2520.85</c:v>
                </c:pt>
                <c:pt idx="1093">
                  <c:v>2536.15</c:v>
                </c:pt>
                <c:pt idx="1094">
                  <c:v>2523.15</c:v>
                </c:pt>
                <c:pt idx="1095">
                  <c:v>2538.8000000000002</c:v>
                </c:pt>
                <c:pt idx="1096">
                  <c:v>2535.9</c:v>
                </c:pt>
                <c:pt idx="1097">
                  <c:v>2523.9</c:v>
                </c:pt>
                <c:pt idx="1098">
                  <c:v>2618.5</c:v>
                </c:pt>
                <c:pt idx="1099">
                  <c:v>2690</c:v>
                </c:pt>
                <c:pt idx="1100">
                  <c:v>2712.75</c:v>
                </c:pt>
                <c:pt idx="1101">
                  <c:v>2707.25</c:v>
                </c:pt>
                <c:pt idx="1102">
                  <c:v>2703</c:v>
                </c:pt>
                <c:pt idx="1103">
                  <c:v>2587.3000000000002</c:v>
                </c:pt>
                <c:pt idx="1104">
                  <c:v>2556.9499999999998</c:v>
                </c:pt>
                <c:pt idx="1105">
                  <c:v>2539</c:v>
                </c:pt>
                <c:pt idx="1106">
                  <c:v>2493.6</c:v>
                </c:pt>
                <c:pt idx="1107">
                  <c:v>2467.8000000000002</c:v>
                </c:pt>
                <c:pt idx="1108">
                  <c:v>2433.65</c:v>
                </c:pt>
                <c:pt idx="1109">
                  <c:v>2371.25</c:v>
                </c:pt>
                <c:pt idx="1110">
                  <c:v>2389.6999999999998</c:v>
                </c:pt>
                <c:pt idx="1111">
                  <c:v>2441</c:v>
                </c:pt>
                <c:pt idx="1112">
                  <c:v>2574.25</c:v>
                </c:pt>
                <c:pt idx="1113">
                  <c:v>2592.65</c:v>
                </c:pt>
                <c:pt idx="1114">
                  <c:v>2546.5500000000002</c:v>
                </c:pt>
                <c:pt idx="1115">
                  <c:v>2468.4499999999998</c:v>
                </c:pt>
                <c:pt idx="1116">
                  <c:v>2406.6</c:v>
                </c:pt>
                <c:pt idx="1117">
                  <c:v>2495.6999999999998</c:v>
                </c:pt>
                <c:pt idx="1118">
                  <c:v>2450.1</c:v>
                </c:pt>
                <c:pt idx="1119">
                  <c:v>2454.35</c:v>
                </c:pt>
                <c:pt idx="1120">
                  <c:v>2488.9499999999998</c:v>
                </c:pt>
                <c:pt idx="1121">
                  <c:v>2493.1999999999998</c:v>
                </c:pt>
                <c:pt idx="1122">
                  <c:v>2488.0500000000002</c:v>
                </c:pt>
                <c:pt idx="1123">
                  <c:v>2495.9</c:v>
                </c:pt>
                <c:pt idx="1124">
                  <c:v>2398</c:v>
                </c:pt>
                <c:pt idx="1125">
                  <c:v>2442.25</c:v>
                </c:pt>
                <c:pt idx="1126">
                  <c:v>2491.85</c:v>
                </c:pt>
                <c:pt idx="1127">
                  <c:v>2484.8000000000002</c:v>
                </c:pt>
                <c:pt idx="1128">
                  <c:v>2443.65</c:v>
                </c:pt>
                <c:pt idx="1129">
                  <c:v>2409.1999999999998</c:v>
                </c:pt>
                <c:pt idx="1130">
                  <c:v>2471.15</c:v>
                </c:pt>
                <c:pt idx="1131">
                  <c:v>2474.9499999999998</c:v>
                </c:pt>
                <c:pt idx="1132">
                  <c:v>2464</c:v>
                </c:pt>
                <c:pt idx="1133">
                  <c:v>2431.8000000000002</c:v>
                </c:pt>
                <c:pt idx="1134">
                  <c:v>2360.3000000000002</c:v>
                </c:pt>
                <c:pt idx="1135">
                  <c:v>2315.6</c:v>
                </c:pt>
                <c:pt idx="1136">
                  <c:v>2310.0500000000002</c:v>
                </c:pt>
                <c:pt idx="1137">
                  <c:v>2376.5</c:v>
                </c:pt>
                <c:pt idx="1138">
                  <c:v>2403.0500000000002</c:v>
                </c:pt>
                <c:pt idx="1139">
                  <c:v>2528.15</c:v>
                </c:pt>
                <c:pt idx="1140">
                  <c:v>2564.3000000000002</c:v>
                </c:pt>
                <c:pt idx="1141">
                  <c:v>2588.9</c:v>
                </c:pt>
                <c:pt idx="1142">
                  <c:v>2600.6</c:v>
                </c:pt>
                <c:pt idx="1143">
                  <c:v>2597.5500000000002</c:v>
                </c:pt>
                <c:pt idx="1144">
                  <c:v>2592.75</c:v>
                </c:pt>
                <c:pt idx="1145">
                  <c:v>2619.25</c:v>
                </c:pt>
                <c:pt idx="1146">
                  <c:v>2612.9499999999998</c:v>
                </c:pt>
                <c:pt idx="1147">
                  <c:v>2653.35</c:v>
                </c:pt>
                <c:pt idx="1148">
                  <c:v>2657.5</c:v>
                </c:pt>
                <c:pt idx="1149">
                  <c:v>2572.6999999999998</c:v>
                </c:pt>
                <c:pt idx="1150">
                  <c:v>2595.9</c:v>
                </c:pt>
                <c:pt idx="1151">
                  <c:v>2576.15</c:v>
                </c:pt>
                <c:pt idx="1152">
                  <c:v>2583</c:v>
                </c:pt>
                <c:pt idx="1153">
                  <c:v>2523.85</c:v>
                </c:pt>
                <c:pt idx="1154">
                  <c:v>2522.4</c:v>
                </c:pt>
                <c:pt idx="1155">
                  <c:v>2437.3000000000002</c:v>
                </c:pt>
                <c:pt idx="1156">
                  <c:v>2402.15</c:v>
                </c:pt>
                <c:pt idx="1157">
                  <c:v>2379.85</c:v>
                </c:pt>
                <c:pt idx="1158">
                  <c:v>2331.3000000000002</c:v>
                </c:pt>
                <c:pt idx="1159">
                  <c:v>2319.4499999999998</c:v>
                </c:pt>
                <c:pt idx="1160">
                  <c:v>2329.9</c:v>
                </c:pt>
                <c:pt idx="1161">
                  <c:v>2299.75</c:v>
                </c:pt>
                <c:pt idx="1162">
                  <c:v>2287.65</c:v>
                </c:pt>
                <c:pt idx="1163">
                  <c:v>2239.35</c:v>
                </c:pt>
                <c:pt idx="1164">
                  <c:v>2280.4</c:v>
                </c:pt>
                <c:pt idx="1165">
                  <c:v>2357.25</c:v>
                </c:pt>
                <c:pt idx="1166">
                  <c:v>2323.15</c:v>
                </c:pt>
                <c:pt idx="1167">
                  <c:v>2354.85</c:v>
                </c:pt>
                <c:pt idx="1168">
                  <c:v>2350.5</c:v>
                </c:pt>
                <c:pt idx="1169">
                  <c:v>2339.35</c:v>
                </c:pt>
                <c:pt idx="1170">
                  <c:v>2373.15</c:v>
                </c:pt>
                <c:pt idx="1171">
                  <c:v>2405.5500000000002</c:v>
                </c:pt>
                <c:pt idx="1172">
                  <c:v>2380.5500000000002</c:v>
                </c:pt>
                <c:pt idx="1173">
                  <c:v>2325.3000000000002</c:v>
                </c:pt>
                <c:pt idx="1174">
                  <c:v>2369.25</c:v>
                </c:pt>
                <c:pt idx="1175">
                  <c:v>2386.5</c:v>
                </c:pt>
                <c:pt idx="1176">
                  <c:v>2360.1999999999998</c:v>
                </c:pt>
                <c:pt idx="1177">
                  <c:v>2375.5</c:v>
                </c:pt>
                <c:pt idx="1178">
                  <c:v>2324.1999999999998</c:v>
                </c:pt>
                <c:pt idx="1179">
                  <c:v>2292.3000000000002</c:v>
                </c:pt>
                <c:pt idx="1180">
                  <c:v>2397.8000000000002</c:v>
                </c:pt>
                <c:pt idx="1181">
                  <c:v>2375.85</c:v>
                </c:pt>
                <c:pt idx="1182">
                  <c:v>2387.6999999999998</c:v>
                </c:pt>
                <c:pt idx="1183">
                  <c:v>2391.3000000000002</c:v>
                </c:pt>
                <c:pt idx="1184">
                  <c:v>2478.1999999999998</c:v>
                </c:pt>
                <c:pt idx="1185">
                  <c:v>2499.35</c:v>
                </c:pt>
                <c:pt idx="1186">
                  <c:v>2531.75</c:v>
                </c:pt>
                <c:pt idx="1187">
                  <c:v>2539.4</c:v>
                </c:pt>
                <c:pt idx="1188">
                  <c:v>2539.5</c:v>
                </c:pt>
                <c:pt idx="1189">
                  <c:v>2528.1</c:v>
                </c:pt>
                <c:pt idx="1190">
                  <c:v>2484.6</c:v>
                </c:pt>
                <c:pt idx="1191">
                  <c:v>2512.1</c:v>
                </c:pt>
                <c:pt idx="1192">
                  <c:v>2536.75</c:v>
                </c:pt>
                <c:pt idx="1193">
                  <c:v>2431.75</c:v>
                </c:pt>
                <c:pt idx="1194">
                  <c:v>2417.9499999999998</c:v>
                </c:pt>
                <c:pt idx="1195">
                  <c:v>2453.9499999999998</c:v>
                </c:pt>
                <c:pt idx="1196">
                  <c:v>2406.3000000000002</c:v>
                </c:pt>
                <c:pt idx="1197">
                  <c:v>2383.5500000000002</c:v>
                </c:pt>
                <c:pt idx="1198">
                  <c:v>2375.15</c:v>
                </c:pt>
                <c:pt idx="1199">
                  <c:v>2460.1</c:v>
                </c:pt>
                <c:pt idx="1200">
                  <c:v>2454.75</c:v>
                </c:pt>
                <c:pt idx="1201">
                  <c:v>2379.15</c:v>
                </c:pt>
                <c:pt idx="1202">
                  <c:v>2412</c:v>
                </c:pt>
                <c:pt idx="1203">
                  <c:v>2395.6999999999998</c:v>
                </c:pt>
                <c:pt idx="1204">
                  <c:v>2411.4</c:v>
                </c:pt>
                <c:pt idx="1205">
                  <c:v>2484.9</c:v>
                </c:pt>
                <c:pt idx="1206">
                  <c:v>2588.8000000000002</c:v>
                </c:pt>
                <c:pt idx="1207">
                  <c:v>2564.0500000000002</c:v>
                </c:pt>
                <c:pt idx="1208">
                  <c:v>2537.1999999999998</c:v>
                </c:pt>
                <c:pt idx="1209">
                  <c:v>2492.6</c:v>
                </c:pt>
                <c:pt idx="1210">
                  <c:v>2362.4</c:v>
                </c:pt>
                <c:pt idx="1211">
                  <c:v>2358.1999999999998</c:v>
                </c:pt>
                <c:pt idx="1212">
                  <c:v>2375.35</c:v>
                </c:pt>
                <c:pt idx="1213">
                  <c:v>2147.65</c:v>
                </c:pt>
                <c:pt idx="1214">
                  <c:v>2192.65</c:v>
                </c:pt>
                <c:pt idx="1215">
                  <c:v>2155.3000000000002</c:v>
                </c:pt>
                <c:pt idx="1216">
                  <c:v>2163.75</c:v>
                </c:pt>
                <c:pt idx="1217">
                  <c:v>2161.85</c:v>
                </c:pt>
                <c:pt idx="1218">
                  <c:v>2147.5</c:v>
                </c:pt>
                <c:pt idx="1219">
                  <c:v>2129.3000000000002</c:v>
                </c:pt>
                <c:pt idx="1220">
                  <c:v>2090.25</c:v>
                </c:pt>
                <c:pt idx="1221">
                  <c:v>2092.9</c:v>
                </c:pt>
                <c:pt idx="1222">
                  <c:v>2105.0500000000002</c:v>
                </c:pt>
                <c:pt idx="1223">
                  <c:v>2081.0500000000002</c:v>
                </c:pt>
                <c:pt idx="1224">
                  <c:v>2085.85</c:v>
                </c:pt>
                <c:pt idx="1225">
                  <c:v>2077.35</c:v>
                </c:pt>
                <c:pt idx="1226">
                  <c:v>2095.6</c:v>
                </c:pt>
                <c:pt idx="1227">
                  <c:v>2108.6999999999998</c:v>
                </c:pt>
                <c:pt idx="1228">
                  <c:v>2119.85</c:v>
                </c:pt>
                <c:pt idx="1229">
                  <c:v>2055.6999999999998</c:v>
                </c:pt>
                <c:pt idx="1230">
                  <c:v>2030.65</c:v>
                </c:pt>
                <c:pt idx="1231">
                  <c:v>2034.3</c:v>
                </c:pt>
                <c:pt idx="1232">
                  <c:v>2055.9499999999998</c:v>
                </c:pt>
                <c:pt idx="1233">
                  <c:v>2033.9</c:v>
                </c:pt>
                <c:pt idx="1234">
                  <c:v>2020.65</c:v>
                </c:pt>
                <c:pt idx="1235">
                  <c:v>2019.3</c:v>
                </c:pt>
                <c:pt idx="1236">
                  <c:v>1967.1</c:v>
                </c:pt>
                <c:pt idx="1237">
                  <c:v>1939.4</c:v>
                </c:pt>
                <c:pt idx="1238">
                  <c:v>1921.6</c:v>
                </c:pt>
                <c:pt idx="1239">
                  <c:v>1878.45</c:v>
                </c:pt>
                <c:pt idx="1240">
                  <c:v>1822.55</c:v>
                </c:pt>
              </c:numCache>
            </c:numRef>
          </c:val>
          <c:smooth val="0"/>
          <c:extLst>
            <c:ext xmlns:c16="http://schemas.microsoft.com/office/drawing/2014/chart" uri="{C3380CC4-5D6E-409C-BE32-E72D297353CC}">
              <c16:uniqueId val="{00000000-998A-4E4E-BD7E-D80D92AA1C28}"/>
            </c:ext>
          </c:extLst>
        </c:ser>
        <c:dLbls>
          <c:showLegendKey val="0"/>
          <c:showVal val="0"/>
          <c:showCatName val="0"/>
          <c:showSerName val="0"/>
          <c:showPercent val="0"/>
          <c:showBubbleSize val="0"/>
        </c:dLbls>
        <c:smooth val="0"/>
        <c:axId val="2019015999"/>
        <c:axId val="2018935231"/>
      </c:lineChart>
      <c:dateAx>
        <c:axId val="201901599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132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8935231"/>
        <c:crosses val="autoZero"/>
        <c:auto val="1"/>
        <c:lblOffset val="100"/>
        <c:baseTimeUnit val="days"/>
      </c:dateAx>
      <c:valAx>
        <c:axId val="2018935231"/>
        <c:scaling>
          <c:orientation val="minMax"/>
          <c:min val="1500"/>
        </c:scaling>
        <c:delete val="0"/>
        <c:axPos val="l"/>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01599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oneCell">
    <xdr:from>
      <xdr:col>1</xdr:col>
      <xdr:colOff>298242</xdr:colOff>
      <xdr:row>2</xdr:row>
      <xdr:rowOff>138620</xdr:rowOff>
    </xdr:from>
    <xdr:to>
      <xdr:col>1</xdr:col>
      <xdr:colOff>1395949</xdr:colOff>
      <xdr:row>7</xdr:row>
      <xdr:rowOff>141309</xdr:rowOff>
    </xdr:to>
    <xdr:pic>
      <xdr:nvPicPr>
        <xdr:cNvPr id="3" name="Picture 2" descr="Titan Company - Wikipedia">
          <a:extLst>
            <a:ext uri="{FF2B5EF4-FFF2-40B4-BE49-F238E27FC236}">
              <a16:creationId xmlns:a16="http://schemas.microsoft.com/office/drawing/2014/main" id="{9F29BE18-1DDA-B005-331F-7258180F19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3357" y="526406"/>
          <a:ext cx="1097707" cy="10981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75326</xdr:colOff>
      <xdr:row>30</xdr:row>
      <xdr:rowOff>53417</xdr:rowOff>
    </xdr:from>
    <xdr:to>
      <xdr:col>12</xdr:col>
      <xdr:colOff>16934</xdr:colOff>
      <xdr:row>36</xdr:row>
      <xdr:rowOff>0</xdr:rowOff>
    </xdr:to>
    <xdr:graphicFrame macro="">
      <xdr:nvGraphicFramePr>
        <xdr:cNvPr id="2" name="Chart 1">
          <a:extLst>
            <a:ext uri="{FF2B5EF4-FFF2-40B4-BE49-F238E27FC236}">
              <a16:creationId xmlns:a16="http://schemas.microsoft.com/office/drawing/2014/main" id="{A0A1D790-60CC-CE4F-A190-EAAD1891AF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73966</xdr:colOff>
      <xdr:row>18</xdr:row>
      <xdr:rowOff>22841</xdr:rowOff>
    </xdr:from>
    <xdr:to>
      <xdr:col>11</xdr:col>
      <xdr:colOff>252131</xdr:colOff>
      <xdr:row>27</xdr:row>
      <xdr:rowOff>177427</xdr:rowOff>
    </xdr:to>
    <xdr:graphicFrame macro="">
      <xdr:nvGraphicFramePr>
        <xdr:cNvPr id="11" name="Chart 10">
          <a:extLst>
            <a:ext uri="{FF2B5EF4-FFF2-40B4-BE49-F238E27FC236}">
              <a16:creationId xmlns:a16="http://schemas.microsoft.com/office/drawing/2014/main" id="{37E30DF7-959B-E9CD-CBB5-92C10A0CB1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7926</xdr:colOff>
      <xdr:row>7</xdr:row>
      <xdr:rowOff>12700</xdr:rowOff>
    </xdr:from>
    <xdr:to>
      <xdr:col>3</xdr:col>
      <xdr:colOff>127000</xdr:colOff>
      <xdr:row>14</xdr:row>
      <xdr:rowOff>187243</xdr:rowOff>
    </xdr:to>
    <xdr:graphicFrame macro="">
      <xdr:nvGraphicFramePr>
        <xdr:cNvPr id="2" name="Chart 1">
          <a:extLst>
            <a:ext uri="{FF2B5EF4-FFF2-40B4-BE49-F238E27FC236}">
              <a16:creationId xmlns:a16="http://schemas.microsoft.com/office/drawing/2014/main" id="{2E894426-B08F-D665-E37C-D655F6DA41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473808</xdr:colOff>
      <xdr:row>6</xdr:row>
      <xdr:rowOff>184149</xdr:rowOff>
    </xdr:from>
    <xdr:to>
      <xdr:col>8</xdr:col>
      <xdr:colOff>13439</xdr:colOff>
      <xdr:row>15</xdr:row>
      <xdr:rowOff>13438</xdr:rowOff>
    </xdr:to>
    <xdr:graphicFrame macro="">
      <xdr:nvGraphicFramePr>
        <xdr:cNvPr id="7" name="Chart 6">
          <a:extLst>
            <a:ext uri="{FF2B5EF4-FFF2-40B4-BE49-F238E27FC236}">
              <a16:creationId xmlns:a16="http://schemas.microsoft.com/office/drawing/2014/main" id="{FC73E1CA-D7CD-F39C-338E-C04DC2973E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4038</xdr:colOff>
      <xdr:row>16</xdr:row>
      <xdr:rowOff>6351</xdr:rowOff>
    </xdr:from>
    <xdr:to>
      <xdr:col>3</xdr:col>
      <xdr:colOff>50800</xdr:colOff>
      <xdr:row>23</xdr:row>
      <xdr:rowOff>187991</xdr:rowOff>
    </xdr:to>
    <xdr:graphicFrame macro="">
      <xdr:nvGraphicFramePr>
        <xdr:cNvPr id="8" name="Chart 7">
          <a:extLst>
            <a:ext uri="{FF2B5EF4-FFF2-40B4-BE49-F238E27FC236}">
              <a16:creationId xmlns:a16="http://schemas.microsoft.com/office/drawing/2014/main" id="{F90D7449-72DA-EB71-FA43-891368FB3B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63500</xdr:colOff>
      <xdr:row>16</xdr:row>
      <xdr:rowOff>6350</xdr:rowOff>
    </xdr:from>
    <xdr:to>
      <xdr:col>5</xdr:col>
      <xdr:colOff>488950</xdr:colOff>
      <xdr:row>24</xdr:row>
      <xdr:rowOff>0</xdr:rowOff>
    </xdr:to>
    <xdr:graphicFrame macro="">
      <xdr:nvGraphicFramePr>
        <xdr:cNvPr id="9" name="Chart 8">
          <a:extLst>
            <a:ext uri="{FF2B5EF4-FFF2-40B4-BE49-F238E27FC236}">
              <a16:creationId xmlns:a16="http://schemas.microsoft.com/office/drawing/2014/main" id="{D59EEC6E-DF40-6C52-A8E2-719FD8FF25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172758</xdr:colOff>
      <xdr:row>7</xdr:row>
      <xdr:rowOff>14008</xdr:rowOff>
    </xdr:from>
    <xdr:to>
      <xdr:col>5</xdr:col>
      <xdr:colOff>494926</xdr:colOff>
      <xdr:row>15</xdr:row>
      <xdr:rowOff>9338</xdr:rowOff>
    </xdr:to>
    <xdr:graphicFrame macro="">
      <xdr:nvGraphicFramePr>
        <xdr:cNvPr id="10" name="Chart 9">
          <a:extLst>
            <a:ext uri="{FF2B5EF4-FFF2-40B4-BE49-F238E27FC236}">
              <a16:creationId xmlns:a16="http://schemas.microsoft.com/office/drawing/2014/main" id="{C946DFF1-DFAF-AF84-E44E-3F746D0B06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503969</xdr:colOff>
      <xdr:row>16</xdr:row>
      <xdr:rowOff>13438</xdr:rowOff>
    </xdr:from>
    <xdr:to>
      <xdr:col>8</xdr:col>
      <xdr:colOff>0</xdr:colOff>
      <xdr:row>24</xdr:row>
      <xdr:rowOff>0</xdr:rowOff>
    </xdr:to>
    <xdr:graphicFrame macro="">
      <xdr:nvGraphicFramePr>
        <xdr:cNvPr id="11" name="Chart 10">
          <a:extLst>
            <a:ext uri="{FF2B5EF4-FFF2-40B4-BE49-F238E27FC236}">
              <a16:creationId xmlns:a16="http://schemas.microsoft.com/office/drawing/2014/main" id="{5D723247-496B-8033-1E0F-F2F2408067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28268</xdr:colOff>
      <xdr:row>4</xdr:row>
      <xdr:rowOff>18047</xdr:rowOff>
    </xdr:from>
    <xdr:to>
      <xdr:col>5</xdr:col>
      <xdr:colOff>405602</xdr:colOff>
      <xdr:row>13</xdr:row>
      <xdr:rowOff>106387</xdr:rowOff>
    </xdr:to>
    <xdr:graphicFrame macro="">
      <xdr:nvGraphicFramePr>
        <xdr:cNvPr id="3" name="Chart 2">
          <a:extLst>
            <a:ext uri="{FF2B5EF4-FFF2-40B4-BE49-F238E27FC236}">
              <a16:creationId xmlns:a16="http://schemas.microsoft.com/office/drawing/2014/main" id="{12C6D0F7-052C-3B0B-73D7-2C1F01A415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71751</xdr:colOff>
      <xdr:row>15</xdr:row>
      <xdr:rowOff>120557</xdr:rowOff>
    </xdr:from>
    <xdr:to>
      <xdr:col>5</xdr:col>
      <xdr:colOff>511989</xdr:colOff>
      <xdr:row>24</xdr:row>
      <xdr:rowOff>39896</xdr:rowOff>
    </xdr:to>
    <xdr:graphicFrame macro="">
      <xdr:nvGraphicFramePr>
        <xdr:cNvPr id="4" name="Chart 3">
          <a:extLst>
            <a:ext uri="{FF2B5EF4-FFF2-40B4-BE49-F238E27FC236}">
              <a16:creationId xmlns:a16="http://schemas.microsoft.com/office/drawing/2014/main" id="{2FA2AB40-AEAB-8742-7A3A-C17908D44D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149930</xdr:colOff>
      <xdr:row>25</xdr:row>
      <xdr:rowOff>180572</xdr:rowOff>
    </xdr:from>
    <xdr:to>
      <xdr:col>5</xdr:col>
      <xdr:colOff>546804</xdr:colOff>
      <xdr:row>34</xdr:row>
      <xdr:rowOff>176389</xdr:rowOff>
    </xdr:to>
    <xdr:graphicFrame macro="">
      <xdr:nvGraphicFramePr>
        <xdr:cNvPr id="7" name="Chart 6">
          <a:extLst>
            <a:ext uri="{FF2B5EF4-FFF2-40B4-BE49-F238E27FC236}">
              <a16:creationId xmlns:a16="http://schemas.microsoft.com/office/drawing/2014/main" id="{D95A6C8C-0CBF-7AAF-0CA8-8E689BF1BE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386910</xdr:colOff>
      <xdr:row>1190</xdr:row>
      <xdr:rowOff>40878</xdr:rowOff>
    </xdr:from>
    <xdr:to>
      <xdr:col>9</xdr:col>
      <xdr:colOff>510573</xdr:colOff>
      <xdr:row>1204</xdr:row>
      <xdr:rowOff>150003</xdr:rowOff>
    </xdr:to>
    <xdr:graphicFrame macro="">
      <xdr:nvGraphicFramePr>
        <xdr:cNvPr id="2" name="Chart 1">
          <a:extLst>
            <a:ext uri="{FF2B5EF4-FFF2-40B4-BE49-F238E27FC236}">
              <a16:creationId xmlns:a16="http://schemas.microsoft.com/office/drawing/2014/main" id="{61D5DC5C-9B05-CC4E-D064-FF7BC901F7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35A97-3A21-4D40-8CB1-2E31011997B6}">
  <dimension ref="B2:L50"/>
  <sheetViews>
    <sheetView showGridLines="0" tabSelected="1" zoomScale="133" zoomScaleNormal="172" workbookViewId="0">
      <selection activeCell="J10" sqref="J10"/>
    </sheetView>
  </sheetViews>
  <sheetFormatPr baseColWidth="10" defaultRowHeight="15" x14ac:dyDescent="0.2"/>
  <cols>
    <col min="1" max="1" width="2" customWidth="1"/>
    <col min="2" max="2" width="25.83203125" customWidth="1"/>
    <col min="3" max="3" width="11" bestFit="1" customWidth="1"/>
    <col min="4" max="5" width="11.6640625" bestFit="1" customWidth="1"/>
    <col min="6" max="7" width="11" bestFit="1" customWidth="1"/>
    <col min="8" max="8" width="1.33203125" customWidth="1"/>
    <col min="11" max="11" width="17" customWidth="1"/>
    <col min="12" max="12" width="3.6640625" customWidth="1"/>
  </cols>
  <sheetData>
    <row r="2" spans="2:11" x14ac:dyDescent="0.2">
      <c r="B2" s="267" t="str">
        <f>'Data Sheet'!B2&amp;" - Company Snapshot"</f>
        <v>TITAN COMPANY LTD - Company Snapshot</v>
      </c>
      <c r="C2" s="267"/>
      <c r="D2" s="267"/>
      <c r="E2" s="267"/>
      <c r="F2" s="267"/>
      <c r="G2" s="267"/>
      <c r="H2" s="267"/>
      <c r="I2" s="267"/>
      <c r="J2" s="267"/>
      <c r="K2" s="267"/>
    </row>
    <row r="3" spans="2:11" x14ac:dyDescent="0.2">
      <c r="B3" s="270"/>
      <c r="E3" s="272"/>
      <c r="F3" s="272"/>
      <c r="G3" s="272"/>
      <c r="H3" s="272"/>
      <c r="I3" s="272"/>
      <c r="J3" s="272"/>
      <c r="K3" s="272"/>
    </row>
    <row r="4" spans="2:11" ht="25" customHeight="1" x14ac:dyDescent="0.2">
      <c r="B4" s="270"/>
      <c r="C4" s="274" t="s">
        <v>1367</v>
      </c>
      <c r="D4" s="274"/>
      <c r="E4" s="272"/>
      <c r="F4" s="272"/>
      <c r="G4" s="272"/>
      <c r="H4" s="272"/>
      <c r="I4" s="272"/>
      <c r="J4" s="272"/>
      <c r="K4" s="272"/>
    </row>
    <row r="5" spans="2:11" x14ac:dyDescent="0.2">
      <c r="B5" s="270"/>
      <c r="C5" s="259" t="s">
        <v>1368</v>
      </c>
      <c r="D5" s="260">
        <f>'P E Valuation'!H4</f>
        <v>5088.267357512952</v>
      </c>
      <c r="E5" s="272"/>
      <c r="F5" s="272"/>
      <c r="G5" s="272"/>
      <c r="H5" s="272"/>
      <c r="I5" s="272"/>
      <c r="J5" s="272"/>
      <c r="K5" s="272"/>
    </row>
    <row r="6" spans="2:11" x14ac:dyDescent="0.2">
      <c r="B6" s="270"/>
      <c r="C6" s="259" t="s">
        <v>1379</v>
      </c>
      <c r="D6" s="260">
        <f>B11</f>
        <v>5169</v>
      </c>
      <c r="E6" s="272"/>
      <c r="F6" s="272"/>
      <c r="G6" s="272"/>
      <c r="H6" s="272"/>
      <c r="I6" s="272"/>
      <c r="J6" s="272"/>
      <c r="K6" s="272"/>
    </row>
    <row r="7" spans="2:11" x14ac:dyDescent="0.2">
      <c r="B7" s="270"/>
      <c r="C7" s="259" t="s">
        <v>1369</v>
      </c>
      <c r="D7" s="261">
        <f>'P E Valuation'!$I$4</f>
        <v>-1.5618619169481152E-2</v>
      </c>
      <c r="E7" s="272"/>
      <c r="F7" s="272"/>
      <c r="G7" s="272"/>
      <c r="H7" s="272"/>
      <c r="I7" s="272"/>
      <c r="J7" s="272"/>
      <c r="K7" s="272"/>
    </row>
    <row r="8" spans="2:11" x14ac:dyDescent="0.2">
      <c r="B8" s="271"/>
      <c r="C8" s="262" t="s">
        <v>1370</v>
      </c>
      <c r="D8" s="263" t="str">
        <f>'P E Valuation'!$J$4</f>
        <v>12 months</v>
      </c>
      <c r="E8" s="273"/>
      <c r="F8" s="273"/>
      <c r="G8" s="273"/>
      <c r="H8" s="273"/>
      <c r="I8" s="273"/>
      <c r="J8" s="273"/>
      <c r="K8" s="273"/>
    </row>
    <row r="10" spans="2:11" x14ac:dyDescent="0.2">
      <c r="B10" t="str">
        <f>"NSE: "&amp;Comps_Val!$C$9</f>
        <v>NSE: TITAN</v>
      </c>
      <c r="C10" t="s">
        <v>1289</v>
      </c>
    </row>
    <row r="11" spans="2:11" ht="21" x14ac:dyDescent="0.25">
      <c r="B11" s="194">
        <v>5169</v>
      </c>
      <c r="C11" s="195" t="s">
        <v>1315</v>
      </c>
    </row>
    <row r="12" spans="2:11" x14ac:dyDescent="0.2">
      <c r="B12" s="35" t="s">
        <v>1290</v>
      </c>
      <c r="C12" s="193" t="s">
        <v>1291</v>
      </c>
      <c r="D12" s="35"/>
      <c r="E12" s="35"/>
      <c r="F12" s="35"/>
      <c r="G12" s="35"/>
      <c r="H12" s="35"/>
      <c r="I12" s="35"/>
      <c r="J12" s="35"/>
      <c r="K12" s="35"/>
    </row>
    <row r="13" spans="2:11" ht="7" customHeight="1" x14ac:dyDescent="0.2"/>
    <row r="14" spans="2:11" x14ac:dyDescent="0.2">
      <c r="B14" s="23" t="s">
        <v>1293</v>
      </c>
    </row>
    <row r="15" spans="2:11" ht="45" customHeight="1" x14ac:dyDescent="0.2">
      <c r="B15" s="269" t="s">
        <v>1292</v>
      </c>
      <c r="C15" s="269"/>
      <c r="D15" s="269"/>
      <c r="E15" s="269"/>
      <c r="F15" s="269"/>
      <c r="G15" s="269"/>
      <c r="H15" s="269"/>
      <c r="I15" s="269"/>
      <c r="J15" s="269"/>
      <c r="K15" s="269"/>
    </row>
    <row r="16" spans="2:11" ht="6" customHeight="1" x14ac:dyDescent="0.2">
      <c r="B16" s="185"/>
    </row>
    <row r="17" spans="2:12" x14ac:dyDescent="0.2">
      <c r="B17" s="185" t="s">
        <v>413</v>
      </c>
    </row>
    <row r="18" spans="2:12" x14ac:dyDescent="0.2">
      <c r="B18" s="110" t="s">
        <v>1371</v>
      </c>
      <c r="C18" s="184">
        <f>HistoricalFS!H3</f>
        <v>44651</v>
      </c>
      <c r="D18" s="184">
        <f>HistoricalFS!I3</f>
        <v>45016</v>
      </c>
      <c r="E18" s="184">
        <f>HistoricalFS!J3</f>
        <v>45382</v>
      </c>
      <c r="F18" s="184">
        <f>HistoricalFS!K3</f>
        <v>45747</v>
      </c>
      <c r="G18" s="184">
        <f>HistoricalFS!L3</f>
        <v>46112</v>
      </c>
      <c r="I18" s="268" t="s">
        <v>1288</v>
      </c>
      <c r="J18" s="268"/>
      <c r="K18" s="268"/>
      <c r="L18" s="268"/>
    </row>
    <row r="19" spans="2:12" x14ac:dyDescent="0.2">
      <c r="B19" t="s">
        <v>360</v>
      </c>
      <c r="C19" s="41">
        <f>HistoricalFS!H6</f>
        <v>28799</v>
      </c>
      <c r="D19" s="41">
        <f>HistoricalFS!I6</f>
        <v>40575</v>
      </c>
      <c r="E19" s="41">
        <f>HistoricalFS!J6</f>
        <v>51084</v>
      </c>
      <c r="F19" s="41">
        <f>HistoricalFS!K6</f>
        <v>60456</v>
      </c>
      <c r="G19" s="41">
        <f>HistoricalFS!L6</f>
        <v>87584</v>
      </c>
    </row>
    <row r="20" spans="2:12" x14ac:dyDescent="0.2">
      <c r="B20" t="s">
        <v>1306</v>
      </c>
      <c r="C20" s="48">
        <f>HistoricalFS!H7</f>
        <v>0.33057660321567184</v>
      </c>
      <c r="D20" s="48">
        <f>HistoricalFS!I7</f>
        <v>0.40890308691274013</v>
      </c>
      <c r="E20" s="48">
        <f>HistoricalFS!J7</f>
        <v>0.25900184842883545</v>
      </c>
      <c r="F20" s="48">
        <f>HistoricalFS!K7</f>
        <v>0.18346253229974163</v>
      </c>
      <c r="G20" s="48">
        <f>HistoricalFS!L7</f>
        <v>0.448723038242689</v>
      </c>
    </row>
    <row r="21" spans="2:12" x14ac:dyDescent="0.2">
      <c r="B21" t="s">
        <v>414</v>
      </c>
      <c r="C21" s="186">
        <f>HistoricalFS!H13</f>
        <v>0.19354838709677419</v>
      </c>
      <c r="D21" s="186">
        <f>HistoricalFS!I13</f>
        <v>0.20406654343807765</v>
      </c>
      <c r="E21" s="186">
        <f>HistoricalFS!J13</f>
        <v>0.18440216114634719</v>
      </c>
      <c r="F21" s="186">
        <f>HistoricalFS!K13</f>
        <v>0.17255524679105466</v>
      </c>
      <c r="G21" s="186">
        <f>HistoricalFS!L13</f>
        <v>0.16125091340884179</v>
      </c>
    </row>
    <row r="22" spans="2:12" x14ac:dyDescent="0.2">
      <c r="B22" t="s">
        <v>138</v>
      </c>
      <c r="C22" s="48">
        <f>HistoricalFS!H19</f>
        <v>0.11611514288690579</v>
      </c>
      <c r="D22" s="48">
        <f>HistoricalFS!I19</f>
        <v>0.12032039433148491</v>
      </c>
      <c r="E22" s="48">
        <f>HistoricalFS!J19</f>
        <v>0.10359408033826638</v>
      </c>
      <c r="F22" s="48">
        <f>HistoricalFS!K19</f>
        <v>9.4184200079396582E-2</v>
      </c>
      <c r="G22" s="48">
        <f>HistoricalFS!L19</f>
        <v>9.5416971136280601E-2</v>
      </c>
    </row>
    <row r="23" spans="2:12" x14ac:dyDescent="0.2">
      <c r="B23" t="s">
        <v>139</v>
      </c>
      <c r="C23" s="48">
        <f>'Ratio Analysis'!H13</f>
        <v>0.10226049515608181</v>
      </c>
      <c r="D23" s="48">
        <f>'Ratio Analysis'!I13</f>
        <v>0.10945163277880468</v>
      </c>
      <c r="E23" s="48">
        <f>'Ratio Analysis'!J13</f>
        <v>9.2161929371231702E-2</v>
      </c>
      <c r="F23" s="48">
        <f>'Ratio Analysis'!K13</f>
        <v>8.2721317983326714E-2</v>
      </c>
      <c r="G23" s="48">
        <f>'Ratio Analysis'!L13</f>
        <v>8.5986024844720496E-2</v>
      </c>
    </row>
    <row r="24" spans="2:12" x14ac:dyDescent="0.2">
      <c r="B24" t="s">
        <v>84</v>
      </c>
      <c r="C24" s="48">
        <f>HistoricalFS!H40</f>
        <v>7.632209451717073E-2</v>
      </c>
      <c r="D24" s="48">
        <f>HistoricalFS!I40</f>
        <v>8.0690080098582875E-2</v>
      </c>
      <c r="E24" s="48">
        <f>HistoricalFS!J40</f>
        <v>6.8436300994440535E-2</v>
      </c>
      <c r="F24" s="48">
        <f>HistoricalFS!K40</f>
        <v>5.5197168188434564E-2</v>
      </c>
      <c r="G24" s="48">
        <f>HistoricalFS!L40</f>
        <v>5.792153818048959E-2</v>
      </c>
    </row>
    <row r="25" spans="2:12" x14ac:dyDescent="0.2">
      <c r="B25" t="s">
        <v>85</v>
      </c>
      <c r="C25" s="41">
        <f>HistoricalFS!H44</f>
        <v>24.757828339716152</v>
      </c>
      <c r="D25" s="41">
        <f>HistoricalFS!I44</f>
        <v>36.877675152061272</v>
      </c>
      <c r="E25" s="41">
        <f>HistoricalFS!J44</f>
        <v>39.37823834196891</v>
      </c>
      <c r="F25" s="41">
        <f>HistoricalFS!K44</f>
        <v>37.58729443568371</v>
      </c>
      <c r="G25" s="41">
        <f>HistoricalFS!L44</f>
        <v>57.141248028835321</v>
      </c>
    </row>
    <row r="26" spans="2:12" x14ac:dyDescent="0.2">
      <c r="B26" t="s">
        <v>167</v>
      </c>
      <c r="C26" s="48">
        <f>HistoricalFS!H45</f>
        <v>1.2566735112936347</v>
      </c>
      <c r="D26" s="48">
        <f>HistoricalFS!I45</f>
        <v>0.48953594176524096</v>
      </c>
      <c r="E26" s="48">
        <f>HistoricalFS!J45</f>
        <v>6.7806963958460642E-2</v>
      </c>
      <c r="F26" s="48">
        <f>HistoricalFS!K45</f>
        <v>-4.548054919908473E-2</v>
      </c>
      <c r="G26" s="48">
        <f>HistoricalFS!L45</f>
        <v>0.52022774947557693</v>
      </c>
    </row>
    <row r="27" spans="2:12" x14ac:dyDescent="0.2">
      <c r="B27" t="s">
        <v>415</v>
      </c>
      <c r="C27" s="41">
        <f>HistoricalFS!H48</f>
        <v>7.5185852669520159</v>
      </c>
      <c r="D27" s="41">
        <f>HistoricalFS!I48</f>
        <v>10.024780355936022</v>
      </c>
      <c r="E27" s="41">
        <f>HistoricalFS!J48</f>
        <v>11.027258391529625</v>
      </c>
      <c r="F27" s="41">
        <f>HistoricalFS!K48</f>
        <v>11.027258391529625</v>
      </c>
      <c r="G27" s="41">
        <f>HistoricalFS!L48</f>
        <v>15.037170533904032</v>
      </c>
    </row>
    <row r="28" spans="2:12" x14ac:dyDescent="0.2">
      <c r="B28" t="s">
        <v>416</v>
      </c>
      <c r="C28" s="20">
        <f>HistoricalFS!H48/HistoricalFS!G48-1</f>
        <v>0.87500000000000022</v>
      </c>
      <c r="D28" s="20">
        <f>D27/C27-1</f>
        <v>0.33333333333333348</v>
      </c>
      <c r="E28" s="20">
        <f>E27/D27-1</f>
        <v>0.10000000000000009</v>
      </c>
      <c r="F28" s="20">
        <f t="shared" ref="F28:G28" si="0">F27/E27-1</f>
        <v>0</v>
      </c>
      <c r="G28" s="20">
        <f t="shared" si="0"/>
        <v>0.36363636363636354</v>
      </c>
    </row>
    <row r="30" spans="2:12" x14ac:dyDescent="0.2">
      <c r="B30" s="110" t="s">
        <v>1280</v>
      </c>
      <c r="C30" s="184">
        <f>C18</f>
        <v>44651</v>
      </c>
      <c r="D30" s="184">
        <f t="shared" ref="D30:G30" si="1">D18</f>
        <v>45016</v>
      </c>
      <c r="E30" s="184">
        <f t="shared" si="1"/>
        <v>45382</v>
      </c>
      <c r="F30" s="184">
        <f t="shared" si="1"/>
        <v>45747</v>
      </c>
      <c r="G30" s="184">
        <f t="shared" si="1"/>
        <v>46112</v>
      </c>
      <c r="I30" s="268" t="s">
        <v>1279</v>
      </c>
      <c r="J30" s="268"/>
      <c r="K30" s="268"/>
      <c r="L30" s="268"/>
    </row>
    <row r="31" spans="2:12" x14ac:dyDescent="0.2">
      <c r="B31" t="s">
        <v>1281</v>
      </c>
      <c r="C31" s="32">
        <f>'Ratio Analysis'!H27</f>
        <v>102.43830618744313</v>
      </c>
      <c r="D31" s="32">
        <f>'Ratio Analysis'!I27</f>
        <v>68.195730604764819</v>
      </c>
      <c r="E31" s="32">
        <f>'Ratio Analysis'!J27</f>
        <v>96.545710526315801</v>
      </c>
      <c r="F31" s="32">
        <f>'Ratio Analysis'!K27</f>
        <v>81.499614324243339</v>
      </c>
      <c r="G31" s="32">
        <f>'Ratio Analysis'!L27</f>
        <v>69.151447269860043</v>
      </c>
    </row>
    <row r="32" spans="2:12" x14ac:dyDescent="0.2">
      <c r="B32" t="s">
        <v>365</v>
      </c>
      <c r="C32" s="32">
        <f>'Ratio Analysis'!H28</f>
        <v>69.037499102870811</v>
      </c>
      <c r="D32" s="32">
        <f>'Ratio Analysis'!I28</f>
        <v>47.377472757066776</v>
      </c>
      <c r="E32" s="32">
        <f>'Ratio Analysis'!J28</f>
        <v>66.425888888888892</v>
      </c>
      <c r="F32" s="32">
        <f>'Ratio Analysis'!K28</f>
        <v>51.134038110291534</v>
      </c>
      <c r="G32" s="32">
        <f>'Ratio Analysis'!L28</f>
        <v>45.412144549479478</v>
      </c>
    </row>
    <row r="33" spans="2:7" x14ac:dyDescent="0.2">
      <c r="B33" t="s">
        <v>1282</v>
      </c>
      <c r="C33" s="32">
        <f>'Ratio Analysis'!H29</f>
        <v>8.0162990728844754</v>
      </c>
      <c r="D33" s="32">
        <f>'Ratio Analysis'!I29</f>
        <v>5.7004762045594584</v>
      </c>
      <c r="E33" s="32">
        <f>'Ratio Analysis'!J29</f>
        <v>6.8813288700963122</v>
      </c>
      <c r="F33" s="32">
        <f>'Ratio Analysis'!K29</f>
        <v>4.816018476247188</v>
      </c>
      <c r="G33" s="32">
        <f>'Ratio Analysis'!L29</f>
        <v>4.3330892857142862</v>
      </c>
    </row>
    <row r="34" spans="2:7" x14ac:dyDescent="0.2">
      <c r="B34" t="s">
        <v>1283</v>
      </c>
      <c r="C34" s="32">
        <f>'Ratio Analysis'!H30</f>
        <v>24.20288046866602</v>
      </c>
      <c r="D34" s="32">
        <f>'Ratio Analysis'!I30</f>
        <v>18.839998481140832</v>
      </c>
      <c r="E34" s="32">
        <f>'Ratio Analysis'!J30</f>
        <v>35.933546683700627</v>
      </c>
      <c r="F34" s="32">
        <f>'Ratio Analysis'!K30</f>
        <v>23.396783637302132</v>
      </c>
      <c r="G34" s="32">
        <f>'Ratio Analysis'!L30</f>
        <v>22.340017321530919</v>
      </c>
    </row>
    <row r="35" spans="2:7" x14ac:dyDescent="0.2">
      <c r="B35" t="s">
        <v>1284</v>
      </c>
      <c r="C35" s="48">
        <f>'Ratio Analysis'!H23</f>
        <v>0.236267870579383</v>
      </c>
      <c r="D35" s="48">
        <f>'Ratio Analysis'!I23</f>
        <v>0.27626360644671338</v>
      </c>
      <c r="E35" s="48">
        <f>'Ratio Analysis'!J23</f>
        <v>0.37219205791546894</v>
      </c>
      <c r="F35" s="48">
        <f>'Ratio Analysis'!K23</f>
        <v>0.28707845836200963</v>
      </c>
      <c r="G35" s="48">
        <f>'Ratio Analysis'!L23</f>
        <v>0.32305928803413358</v>
      </c>
    </row>
    <row r="36" spans="2:7" x14ac:dyDescent="0.2">
      <c r="B36" t="s">
        <v>143</v>
      </c>
      <c r="C36" s="48">
        <f>'Ratio Analysis'!H21</f>
        <v>0.1776450717818796</v>
      </c>
      <c r="D36" s="48">
        <f>'Ratio Analysis'!I21</f>
        <v>0.20930342162315016</v>
      </c>
      <c r="E36" s="48">
        <f>'Ratio Analysis'!J21</f>
        <v>0.18891697764937201</v>
      </c>
      <c r="F36" s="48">
        <f>'Ratio Analysis'!K21</f>
        <v>0.15434708805283787</v>
      </c>
      <c r="G36" s="48">
        <f>'Ratio Analysis'!L21</f>
        <v>0.16257231672567135</v>
      </c>
    </row>
    <row r="38" spans="2:7" x14ac:dyDescent="0.2">
      <c r="B38" s="110" t="s">
        <v>1372</v>
      </c>
      <c r="C38" s="111">
        <f>'P E Valuation'!D11</f>
        <v>46112</v>
      </c>
      <c r="D38" s="257">
        <f>'P E Valuation'!E11</f>
        <v>46477</v>
      </c>
      <c r="E38" s="257">
        <f>'P E Valuation'!F11</f>
        <v>46842</v>
      </c>
    </row>
    <row r="39" spans="2:7" x14ac:dyDescent="0.2">
      <c r="B39" t="s">
        <v>360</v>
      </c>
      <c r="C39" s="113">
        <f>'P E Valuation'!D13</f>
        <v>87584</v>
      </c>
      <c r="D39" s="113">
        <f>'P E Valuation'!E13</f>
        <v>100721.59999999999</v>
      </c>
      <c r="E39" s="113">
        <f>'P E Valuation'!F13</f>
        <v>115829.83999999998</v>
      </c>
    </row>
    <row r="40" spans="2:7" x14ac:dyDescent="0.2">
      <c r="B40" t="str">
        <f>'P E Valuation'!B16</f>
        <v>EBITDA</v>
      </c>
      <c r="C40" s="113">
        <f>'P E Valuation'!D16</f>
        <v>8357</v>
      </c>
      <c r="D40" s="113">
        <f>'P E Valuation'!E16</f>
        <v>10072.16</v>
      </c>
      <c r="E40" s="113">
        <f>'P E Valuation'!F16</f>
        <v>11582.983999999999</v>
      </c>
    </row>
    <row r="41" spans="2:7" x14ac:dyDescent="0.2">
      <c r="B41" t="str">
        <f>'DCF - Exit Multiple'!B4</f>
        <v>EBIT</v>
      </c>
      <c r="C41" s="113">
        <f>'DCF - Exit Multiple'!D4</f>
        <v>7981</v>
      </c>
      <c r="D41" s="113">
        <f>'DCF - Exit Multiple'!E4</f>
        <v>9178.15</v>
      </c>
      <c r="E41" s="113">
        <f>'DCF - Exit Multiple'!F4</f>
        <v>10554.872499999999</v>
      </c>
    </row>
    <row r="42" spans="2:7" x14ac:dyDescent="0.2">
      <c r="B42" t="str">
        <f>'P E Valuation'!B19</f>
        <v>Net Profit</v>
      </c>
      <c r="C42" s="113">
        <f>'P E Valuation'!D19</f>
        <v>5073</v>
      </c>
      <c r="D42" s="113">
        <f>'P E Valuation'!E19</f>
        <v>6043.2959999999994</v>
      </c>
      <c r="E42" s="113">
        <f>'P E Valuation'!F19</f>
        <v>6949.790399999999</v>
      </c>
    </row>
    <row r="43" spans="2:7" x14ac:dyDescent="0.2">
      <c r="B43" t="str">
        <f>'P E Valuation'!B24</f>
        <v>EPS</v>
      </c>
      <c r="C43" s="113">
        <f>'P E Valuation'!D24</f>
        <v>57.141248028835321</v>
      </c>
      <c r="D43" s="113">
        <f>'P E Valuation'!E24</f>
        <v>68.070466321243515</v>
      </c>
      <c r="E43" s="113">
        <f>'P E Valuation'!F24</f>
        <v>78.281036269430032</v>
      </c>
    </row>
    <row r="45" spans="2:7" x14ac:dyDescent="0.2">
      <c r="B45" s="110" t="s">
        <v>363</v>
      </c>
      <c r="C45" s="266" t="s">
        <v>1373</v>
      </c>
      <c r="D45" s="266"/>
    </row>
    <row r="46" spans="2:7" x14ac:dyDescent="0.2">
      <c r="B46" t="s">
        <v>1374</v>
      </c>
      <c r="C46" s="258">
        <f>'P E Valuation'!H4</f>
        <v>5088.267357512952</v>
      </c>
      <c r="D46" s="258"/>
    </row>
    <row r="47" spans="2:7" x14ac:dyDescent="0.2">
      <c r="B47" t="s">
        <v>1375</v>
      </c>
      <c r="C47" s="258">
        <f>'DCF - Exit Multiple'!C34</f>
        <v>4211.483450694649</v>
      </c>
      <c r="D47" s="258"/>
    </row>
    <row r="48" spans="2:7" x14ac:dyDescent="0.2">
      <c r="B48" t="s">
        <v>1376</v>
      </c>
      <c r="C48" s="258">
        <f>'Scenario Analysis'!N6</f>
        <v>5141.062663212434</v>
      </c>
      <c r="D48" s="258"/>
    </row>
    <row r="49" spans="2:4" x14ac:dyDescent="0.2">
      <c r="B49" t="s">
        <v>1377</v>
      </c>
      <c r="C49" s="258">
        <f>Comps_Val!Q34</f>
        <v>2376.3464689822772</v>
      </c>
      <c r="D49" s="258"/>
    </row>
    <row r="50" spans="2:4" x14ac:dyDescent="0.2">
      <c r="B50" t="s">
        <v>1378</v>
      </c>
      <c r="C50" s="258">
        <f>Comps_Val!P34</f>
        <v>2345.3786198822891</v>
      </c>
    </row>
  </sheetData>
  <sheetProtection sheet="1" objects="1" scenarios="1"/>
  <mergeCells count="8">
    <mergeCell ref="C45:D45"/>
    <mergeCell ref="B2:K2"/>
    <mergeCell ref="I18:L18"/>
    <mergeCell ref="I30:L30"/>
    <mergeCell ref="B15:K15"/>
    <mergeCell ref="B3:B8"/>
    <mergeCell ref="E3:K8"/>
    <mergeCell ref="C4:D4"/>
  </mergeCells>
  <pageMargins left="0.7" right="0.7" top="0.75" bottom="0.75" header="0.3" footer="0.3"/>
  <pageSetup paperSize="9" orientation="portrait"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A0854-229D-F44A-ADAE-30E226723FF6}">
  <sheetPr>
    <tabColor theme="0" tint="-0.14999847407452621"/>
  </sheetPr>
  <dimension ref="A1"/>
  <sheetViews>
    <sheetView zoomScale="237" workbookViewId="0">
      <selection activeCell="C15" sqref="C15"/>
    </sheetView>
  </sheetViews>
  <sheetFormatPr baseColWidth="10" defaultRowHeight="15" x14ac:dyDescent="0.2"/>
  <sheetData/>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85C33-9564-4F4A-AB10-16910F05A8CB}">
  <dimension ref="A2:L112"/>
  <sheetViews>
    <sheetView showGridLines="0" zoomScale="140" workbookViewId="0">
      <pane ySplit="3" topLeftCell="A4" activePane="bottomLeft" state="frozen"/>
      <selection pane="bottomLeft" activeCell="D7" sqref="D7"/>
    </sheetView>
  </sheetViews>
  <sheetFormatPr baseColWidth="10" defaultRowHeight="15" outlineLevelRow="1" x14ac:dyDescent="0.2"/>
  <cols>
    <col min="1" max="1" width="2" bestFit="1" customWidth="1"/>
    <col min="2" max="2" width="25.5" bestFit="1" customWidth="1"/>
    <col min="3" max="12" width="12.83203125" customWidth="1"/>
  </cols>
  <sheetData>
    <row r="2" spans="1:12" x14ac:dyDescent="0.2">
      <c r="B2" s="275" t="str">
        <f>"Historical Financial Statement - "&amp;'Data Sheet'!B2</f>
        <v>Historical Financial Statement - TITAN COMPANY LTD</v>
      </c>
      <c r="C2" s="275"/>
      <c r="D2" s="275"/>
      <c r="E2" s="275"/>
      <c r="F2" s="275"/>
      <c r="G2" s="275"/>
      <c r="H2" s="275"/>
      <c r="I2" s="275"/>
      <c r="J2" s="275"/>
      <c r="K2" s="275"/>
      <c r="L2" s="275"/>
    </row>
    <row r="3" spans="1:12" x14ac:dyDescent="0.2">
      <c r="B3" s="7" t="s">
        <v>0</v>
      </c>
      <c r="C3" s="8">
        <f>'Data Sheet'!B17</f>
        <v>42825</v>
      </c>
      <c r="D3" s="8">
        <f>'Data Sheet'!C17</f>
        <v>43190</v>
      </c>
      <c r="E3" s="8">
        <f>'Data Sheet'!D17</f>
        <v>43555</v>
      </c>
      <c r="F3" s="8">
        <f>'Data Sheet'!E17</f>
        <v>43921</v>
      </c>
      <c r="G3" s="8">
        <f>'Data Sheet'!F17</f>
        <v>44286</v>
      </c>
      <c r="H3" s="8">
        <f>'Data Sheet'!G17</f>
        <v>44651</v>
      </c>
      <c r="I3" s="8">
        <f>'Data Sheet'!H17</f>
        <v>45016</v>
      </c>
      <c r="J3" s="8">
        <f>'Data Sheet'!I17</f>
        <v>45382</v>
      </c>
      <c r="K3" s="8">
        <f>'Data Sheet'!J17</f>
        <v>45747</v>
      </c>
      <c r="L3" s="8">
        <f>'Data Sheet'!K17</f>
        <v>46112</v>
      </c>
    </row>
    <row r="4" spans="1:12" x14ac:dyDescent="0.2">
      <c r="B4" s="16"/>
      <c r="C4" s="17"/>
      <c r="D4" s="17"/>
      <c r="E4" s="17"/>
      <c r="F4" s="17"/>
      <c r="G4" s="17"/>
      <c r="H4" s="17"/>
      <c r="I4" s="17"/>
      <c r="J4" s="17"/>
      <c r="K4" s="17"/>
      <c r="L4" s="17"/>
    </row>
    <row r="5" spans="1:12" x14ac:dyDescent="0.2">
      <c r="A5" t="s">
        <v>67</v>
      </c>
      <c r="B5" s="18" t="s">
        <v>66</v>
      </c>
      <c r="C5" s="19"/>
      <c r="D5" s="19"/>
      <c r="E5" s="19"/>
      <c r="F5" s="19"/>
      <c r="G5" s="19"/>
      <c r="H5" s="19"/>
      <c r="I5" s="19"/>
      <c r="J5" s="19"/>
      <c r="K5" s="19"/>
      <c r="L5" s="19"/>
    </row>
    <row r="6" spans="1:12" outlineLevel="1" x14ac:dyDescent="0.2">
      <c r="B6" t="s">
        <v>2</v>
      </c>
      <c r="C6" s="9">
        <f>IFERROR('Data Sheet'!B18,0)</f>
        <v>13260.83</v>
      </c>
      <c r="D6" s="9">
        <f>IFERROR('Data Sheet'!C18,0)</f>
        <v>16119.77</v>
      </c>
      <c r="E6" s="9">
        <f>IFERROR('Data Sheet'!D18,0)</f>
        <v>19778.52</v>
      </c>
      <c r="F6" s="9">
        <f>IFERROR('Data Sheet'!E18,0)</f>
        <v>21052</v>
      </c>
      <c r="G6" s="9">
        <f>IFERROR('Data Sheet'!F18,0)</f>
        <v>21644</v>
      </c>
      <c r="H6" s="9">
        <f>IFERROR('Data Sheet'!G18,0)</f>
        <v>28799</v>
      </c>
      <c r="I6" s="9">
        <f>IFERROR('Data Sheet'!H18,0)</f>
        <v>40575</v>
      </c>
      <c r="J6" s="9">
        <f>IFERROR('Data Sheet'!I18,0)</f>
        <v>51084</v>
      </c>
      <c r="K6" s="9">
        <f>IFERROR('Data Sheet'!J18,0)</f>
        <v>60456</v>
      </c>
      <c r="L6" s="9">
        <f>IFERROR('Data Sheet'!K18,0)</f>
        <v>87584</v>
      </c>
    </row>
    <row r="7" spans="1:12" outlineLevel="1" x14ac:dyDescent="0.2">
      <c r="B7" s="15" t="s">
        <v>68</v>
      </c>
      <c r="C7" s="10" t="s">
        <v>69</v>
      </c>
      <c r="D7" s="11">
        <f>IFERROR((D6/C6)-1,0)</f>
        <v>0.21559283996552248</v>
      </c>
      <c r="E7" s="11">
        <f t="shared" ref="E7:L7" si="0">IFERROR((E6/D6)-1,0)</f>
        <v>0.22697284142391605</v>
      </c>
      <c r="F7" s="11">
        <f t="shared" si="0"/>
        <v>6.4387021880302431E-2</v>
      </c>
      <c r="G7" s="11">
        <f t="shared" si="0"/>
        <v>2.8120843625308867E-2</v>
      </c>
      <c r="H7" s="11">
        <f t="shared" si="0"/>
        <v>0.33057660321567184</v>
      </c>
      <c r="I7" s="11">
        <f t="shared" si="0"/>
        <v>0.40890308691274013</v>
      </c>
      <c r="J7" s="11">
        <f t="shared" si="0"/>
        <v>0.25900184842883545</v>
      </c>
      <c r="K7" s="11">
        <f t="shared" si="0"/>
        <v>0.18346253229974163</v>
      </c>
      <c r="L7" s="11">
        <f t="shared" si="0"/>
        <v>0.448723038242689</v>
      </c>
    </row>
    <row r="8" spans="1:12" outlineLevel="1" x14ac:dyDescent="0.2">
      <c r="C8" s="10"/>
      <c r="D8" s="10"/>
      <c r="E8" s="10"/>
      <c r="F8" s="10"/>
      <c r="G8" s="10"/>
      <c r="H8" s="10"/>
      <c r="I8" s="10"/>
      <c r="J8" s="10"/>
      <c r="K8" s="10"/>
      <c r="L8" s="10"/>
    </row>
    <row r="9" spans="1:12" outlineLevel="1" x14ac:dyDescent="0.2">
      <c r="B9" t="s">
        <v>70</v>
      </c>
      <c r="C9" s="9">
        <f>IFERROR(SUM('Data Sheet'!B19,'Data Sheet'!B21:B23)-1*'Data Sheet'!B20,0)</f>
        <v>10606.01</v>
      </c>
      <c r="D9" s="9">
        <f>IFERROR(SUM('Data Sheet'!C19,'Data Sheet'!C21:C23)-1*'Data Sheet'!C20,0)</f>
        <v>12762.63</v>
      </c>
      <c r="E9" s="9">
        <f>IFERROR(SUM('Data Sheet'!D19,'Data Sheet'!D21:D23)-1*'Data Sheet'!D20,0)</f>
        <v>15660.48</v>
      </c>
      <c r="F9" s="9">
        <f>IFERROR(SUM('Data Sheet'!E19,'Data Sheet'!E21:E23)-1*'Data Sheet'!E20,0)</f>
        <v>16626</v>
      </c>
      <c r="G9" s="9">
        <f>IFERROR(SUM('Data Sheet'!F19,'Data Sheet'!F21:F23)-1*'Data Sheet'!F20,0)</f>
        <v>17661</v>
      </c>
      <c r="H9" s="9">
        <f>IFERROR(SUM('Data Sheet'!G19,'Data Sheet'!G21:G23)-1*'Data Sheet'!G20,0)</f>
        <v>23225</v>
      </c>
      <c r="I9" s="9">
        <f>IFERROR(SUM('Data Sheet'!H19,'Data Sheet'!H21:H23)-1*'Data Sheet'!H20,0)</f>
        <v>32295</v>
      </c>
      <c r="J9" s="9">
        <f>IFERROR(SUM('Data Sheet'!I19,'Data Sheet'!I21:I23)-1*'Data Sheet'!I20,0)</f>
        <v>41664</v>
      </c>
      <c r="K9" s="9">
        <f>IFERROR(SUM('Data Sheet'!J19,'Data Sheet'!J21:J23)-1*'Data Sheet'!J20,0)</f>
        <v>50024</v>
      </c>
      <c r="L9" s="9">
        <f>IFERROR(SUM('Data Sheet'!K19,'Data Sheet'!K21:K23)-1*'Data Sheet'!K20,0)</f>
        <v>73461</v>
      </c>
    </row>
    <row r="10" spans="1:12" outlineLevel="1" x14ac:dyDescent="0.2">
      <c r="B10" s="15" t="s">
        <v>71</v>
      </c>
      <c r="C10" s="11">
        <f>IFERROR(C9/C6,0)</f>
        <v>0.79979986169794803</v>
      </c>
      <c r="D10" s="11">
        <f t="shared" ref="D10:L10" si="1">IFERROR(D9/D6,0)</f>
        <v>0.79173772330498504</v>
      </c>
      <c r="E10" s="11">
        <f t="shared" si="1"/>
        <v>0.79179230801900236</v>
      </c>
      <c r="F10" s="11">
        <f t="shared" si="1"/>
        <v>0.78975869276078281</v>
      </c>
      <c r="G10" s="11">
        <f t="shared" si="1"/>
        <v>0.81597671410090555</v>
      </c>
      <c r="H10" s="11">
        <f t="shared" si="1"/>
        <v>0.80645161290322576</v>
      </c>
      <c r="I10" s="11">
        <f t="shared" si="1"/>
        <v>0.79593345656192238</v>
      </c>
      <c r="J10" s="11">
        <f t="shared" si="1"/>
        <v>0.81559783885365278</v>
      </c>
      <c r="K10" s="11">
        <f t="shared" si="1"/>
        <v>0.82744475320894539</v>
      </c>
      <c r="L10" s="11">
        <f t="shared" si="1"/>
        <v>0.83874908659115821</v>
      </c>
    </row>
    <row r="11" spans="1:12" outlineLevel="1" x14ac:dyDescent="0.2">
      <c r="C11" s="10"/>
      <c r="D11" s="10"/>
      <c r="E11" s="10"/>
      <c r="F11" s="10"/>
      <c r="G11" s="10"/>
      <c r="H11" s="10"/>
      <c r="I11" s="10"/>
      <c r="J11" s="10"/>
      <c r="K11" s="10"/>
      <c r="L11" s="10"/>
    </row>
    <row r="12" spans="1:12" outlineLevel="1" x14ac:dyDescent="0.2">
      <c r="B12" s="24" t="s">
        <v>72</v>
      </c>
      <c r="C12" s="166">
        <f>IFERROR(C6-C9,0)</f>
        <v>2654.8199999999997</v>
      </c>
      <c r="D12" s="166">
        <f t="shared" ref="D12:L12" si="2">IFERROR(D6-D9,0)</f>
        <v>3357.1400000000012</v>
      </c>
      <c r="E12" s="166">
        <f t="shared" si="2"/>
        <v>4118.0400000000009</v>
      </c>
      <c r="F12" s="166">
        <f t="shared" si="2"/>
        <v>4426</v>
      </c>
      <c r="G12" s="166">
        <f t="shared" si="2"/>
        <v>3983</v>
      </c>
      <c r="H12" s="166">
        <f t="shared" si="2"/>
        <v>5574</v>
      </c>
      <c r="I12" s="166">
        <f t="shared" si="2"/>
        <v>8280</v>
      </c>
      <c r="J12" s="166">
        <f t="shared" si="2"/>
        <v>9420</v>
      </c>
      <c r="K12" s="166">
        <f t="shared" si="2"/>
        <v>10432</v>
      </c>
      <c r="L12" s="166">
        <f t="shared" si="2"/>
        <v>14123</v>
      </c>
    </row>
    <row r="13" spans="1:12" outlineLevel="1" x14ac:dyDescent="0.2">
      <c r="B13" s="15" t="s">
        <v>79</v>
      </c>
      <c r="C13" s="11">
        <f>IFERROR(C12/C6,0)</f>
        <v>0.20020013830205197</v>
      </c>
      <c r="D13" s="11">
        <f t="shared" ref="D13:L13" si="3">IFERROR(D12/D6,0)</f>
        <v>0.20826227669501496</v>
      </c>
      <c r="E13" s="11">
        <f t="shared" si="3"/>
        <v>0.20820769198099762</v>
      </c>
      <c r="F13" s="11">
        <f t="shared" si="3"/>
        <v>0.21024130723921719</v>
      </c>
      <c r="G13" s="11">
        <f t="shared" si="3"/>
        <v>0.18402328589909445</v>
      </c>
      <c r="H13" s="11">
        <f t="shared" si="3"/>
        <v>0.19354838709677419</v>
      </c>
      <c r="I13" s="11">
        <f t="shared" si="3"/>
        <v>0.20406654343807765</v>
      </c>
      <c r="J13" s="11">
        <f t="shared" si="3"/>
        <v>0.18440216114634719</v>
      </c>
      <c r="K13" s="11">
        <f t="shared" si="3"/>
        <v>0.17255524679105466</v>
      </c>
      <c r="L13" s="11">
        <f t="shared" si="3"/>
        <v>0.16125091340884179</v>
      </c>
    </row>
    <row r="14" spans="1:12" outlineLevel="1" x14ac:dyDescent="0.2">
      <c r="C14" s="10"/>
      <c r="D14" s="10"/>
      <c r="E14" s="10"/>
      <c r="F14" s="10"/>
      <c r="G14" s="10"/>
      <c r="H14" s="10"/>
      <c r="I14" s="10"/>
      <c r="J14" s="10"/>
      <c r="K14" s="10"/>
      <c r="L14" s="10"/>
    </row>
    <row r="15" spans="1:12" outlineLevel="1" x14ac:dyDescent="0.2">
      <c r="B15" t="s">
        <v>73</v>
      </c>
      <c r="C15" s="12">
        <f>IFERROR(SUM('Data Sheet'!B24:B25),0)</f>
        <v>1490.92</v>
      </c>
      <c r="D15" s="12">
        <f>IFERROR(SUM('Data Sheet'!C24:C25),0)</f>
        <v>1712.94</v>
      </c>
      <c r="E15" s="12">
        <f>IFERROR(SUM('Data Sheet'!D24:D25),0)</f>
        <v>2124.25</v>
      </c>
      <c r="F15" s="12">
        <f>IFERROR(SUM('Data Sheet'!E24:E25),0)</f>
        <v>1963</v>
      </c>
      <c r="G15" s="12">
        <f>IFERROR(SUM('Data Sheet'!F24:F25),0)</f>
        <v>2258</v>
      </c>
      <c r="H15" s="12">
        <f>IFERROR(SUM('Data Sheet'!G24:G25),0)</f>
        <v>2230</v>
      </c>
      <c r="I15" s="12">
        <f>IFERROR(SUM('Data Sheet'!H24:H25),0)</f>
        <v>3398</v>
      </c>
      <c r="J15" s="12">
        <f>IFERROR(SUM('Data Sheet'!I24:I25),0)</f>
        <v>4128</v>
      </c>
      <c r="K15" s="12">
        <f>IFERROR(SUM('Data Sheet'!J24:J25),0)</f>
        <v>4738</v>
      </c>
      <c r="L15" s="12">
        <f>IFERROR(SUM('Data Sheet'!K24:K25),0)</f>
        <v>5766</v>
      </c>
    </row>
    <row r="16" spans="1:12" outlineLevel="1" x14ac:dyDescent="0.2">
      <c r="B16" s="15" t="s">
        <v>74</v>
      </c>
      <c r="C16" s="11">
        <f>IFERROR(C15/C6,0)</f>
        <v>0.11243036823486917</v>
      </c>
      <c r="D16" s="11">
        <f t="shared" ref="D16:L16" si="4">IFERROR(D15/D6,0)</f>
        <v>0.10626330276424539</v>
      </c>
      <c r="E16" s="11">
        <f t="shared" si="4"/>
        <v>0.10740186828943722</v>
      </c>
      <c r="F16" s="11">
        <f t="shared" si="4"/>
        <v>9.3245297358920773E-2</v>
      </c>
      <c r="G16" s="11">
        <f t="shared" si="4"/>
        <v>0.10432452411753834</v>
      </c>
      <c r="H16" s="11">
        <f t="shared" si="4"/>
        <v>7.7433244209868399E-2</v>
      </c>
      <c r="I16" s="11">
        <f t="shared" si="4"/>
        <v>8.3746149106592727E-2</v>
      </c>
      <c r="J16" s="11">
        <f t="shared" si="4"/>
        <v>8.0808080808080815E-2</v>
      </c>
      <c r="K16" s="11">
        <f t="shared" si="4"/>
        <v>7.8371046711658066E-2</v>
      </c>
      <c r="L16" s="11">
        <f t="shared" si="4"/>
        <v>6.5833942272561202E-2</v>
      </c>
    </row>
    <row r="17" spans="2:12" outlineLevel="1" x14ac:dyDescent="0.2"/>
    <row r="18" spans="2:12" outlineLevel="1" x14ac:dyDescent="0.2">
      <c r="B18" s="24" t="s">
        <v>75</v>
      </c>
      <c r="C18" s="25">
        <f t="shared" ref="C18:L18" si="5">C12-C15</f>
        <v>1163.8999999999996</v>
      </c>
      <c r="D18" s="25">
        <f t="shared" si="5"/>
        <v>1644.2000000000012</v>
      </c>
      <c r="E18" s="25">
        <f t="shared" si="5"/>
        <v>1993.7900000000009</v>
      </c>
      <c r="F18" s="25">
        <f t="shared" si="5"/>
        <v>2463</v>
      </c>
      <c r="G18" s="25">
        <f t="shared" si="5"/>
        <v>1725</v>
      </c>
      <c r="H18" s="25">
        <f t="shared" si="5"/>
        <v>3344</v>
      </c>
      <c r="I18" s="25">
        <f t="shared" si="5"/>
        <v>4882</v>
      </c>
      <c r="J18" s="25">
        <f t="shared" si="5"/>
        <v>5292</v>
      </c>
      <c r="K18" s="25">
        <f t="shared" si="5"/>
        <v>5694</v>
      </c>
      <c r="L18" s="25">
        <f t="shared" si="5"/>
        <v>8357</v>
      </c>
    </row>
    <row r="19" spans="2:12" outlineLevel="1" x14ac:dyDescent="0.2">
      <c r="B19" s="15" t="s">
        <v>76</v>
      </c>
      <c r="C19" s="11">
        <f>IFERROR(C18/C6,0)</f>
        <v>8.7769770067182798E-2</v>
      </c>
      <c r="D19" s="11">
        <f t="shared" ref="D19:L19" si="6">IFERROR(D18/D6,0)</f>
        <v>0.10199897393076955</v>
      </c>
      <c r="E19" s="11">
        <f t="shared" si="6"/>
        <v>0.10080582369156038</v>
      </c>
      <c r="F19" s="11">
        <f t="shared" si="6"/>
        <v>0.1169960098802964</v>
      </c>
      <c r="G19" s="11">
        <f t="shared" si="6"/>
        <v>7.9698761781556091E-2</v>
      </c>
      <c r="H19" s="11">
        <f t="shared" si="6"/>
        <v>0.11611514288690579</v>
      </c>
      <c r="I19" s="11">
        <f t="shared" si="6"/>
        <v>0.12032039433148491</v>
      </c>
      <c r="J19" s="11">
        <f t="shared" si="6"/>
        <v>0.10359408033826638</v>
      </c>
      <c r="K19" s="11">
        <f t="shared" si="6"/>
        <v>9.4184200079396582E-2</v>
      </c>
      <c r="L19" s="11">
        <f t="shared" si="6"/>
        <v>9.5416971136280601E-2</v>
      </c>
    </row>
    <row r="20" spans="2:12" outlineLevel="1" x14ac:dyDescent="0.2"/>
    <row r="21" spans="2:12" outlineLevel="1" x14ac:dyDescent="0.2">
      <c r="B21" t="s">
        <v>4</v>
      </c>
      <c r="C21" s="12">
        <f>IFERROR('Data Sheet'!B28,0)</f>
        <v>37.74</v>
      </c>
      <c r="D21" s="12">
        <f>IFERROR('Data Sheet'!C28,0)</f>
        <v>52.92</v>
      </c>
      <c r="E21" s="12">
        <f>IFERROR('Data Sheet'!D28,0)</f>
        <v>52.54</v>
      </c>
      <c r="F21" s="12">
        <f>IFERROR('Data Sheet'!E28,0)</f>
        <v>166</v>
      </c>
      <c r="G21" s="12">
        <f>IFERROR('Data Sheet'!F28,0)</f>
        <v>203</v>
      </c>
      <c r="H21" s="12">
        <f>IFERROR('Data Sheet'!G28,0)</f>
        <v>218</v>
      </c>
      <c r="I21" s="12">
        <f>IFERROR('Data Sheet'!H28,0)</f>
        <v>300</v>
      </c>
      <c r="J21" s="12">
        <f>IFERROR('Data Sheet'!I28,0)</f>
        <v>619</v>
      </c>
      <c r="K21" s="12">
        <f>IFERROR('Data Sheet'!J28,0)</f>
        <v>953</v>
      </c>
      <c r="L21" s="12">
        <f>IFERROR('Data Sheet'!K28,0)</f>
        <v>1180</v>
      </c>
    </row>
    <row r="22" spans="2:12" outlineLevel="1" x14ac:dyDescent="0.2">
      <c r="B22" s="15" t="s">
        <v>77</v>
      </c>
      <c r="C22" s="11">
        <f>IFERROR(C21/C6,0)</f>
        <v>2.845975704386528E-3</v>
      </c>
      <c r="D22" s="11">
        <f t="shared" ref="D22:L22" si="7">IFERROR(D21/D6,0)</f>
        <v>3.2829252526555899E-3</v>
      </c>
      <c r="E22" s="11">
        <f t="shared" si="7"/>
        <v>2.6564171636704868E-3</v>
      </c>
      <c r="F22" s="11">
        <f t="shared" si="7"/>
        <v>7.8852365570967128E-3</v>
      </c>
      <c r="G22" s="11">
        <f t="shared" si="7"/>
        <v>9.3790426908150065E-3</v>
      </c>
      <c r="H22" s="11">
        <f t="shared" si="7"/>
        <v>7.5697072815028299E-3</v>
      </c>
      <c r="I22" s="11">
        <f t="shared" si="7"/>
        <v>7.3937153419593345E-3</v>
      </c>
      <c r="J22" s="11">
        <f t="shared" si="7"/>
        <v>1.2117297001017931E-2</v>
      </c>
      <c r="K22" s="11">
        <f t="shared" si="7"/>
        <v>1.5763530501521766E-2</v>
      </c>
      <c r="L22" s="11">
        <f t="shared" si="7"/>
        <v>1.3472780416514432E-2</v>
      </c>
    </row>
    <row r="23" spans="2:12" outlineLevel="1" x14ac:dyDescent="0.2"/>
    <row r="24" spans="2:12" outlineLevel="1" x14ac:dyDescent="0.2">
      <c r="B24" t="s">
        <v>3</v>
      </c>
      <c r="C24" s="12">
        <f>IFERROR('Data Sheet'!B27,0)</f>
        <v>110.53</v>
      </c>
      <c r="D24" s="12">
        <f>IFERROR('Data Sheet'!C27,0)</f>
        <v>131.43</v>
      </c>
      <c r="E24" s="12">
        <f>IFERROR('Data Sheet'!D27,0)</f>
        <v>162.84</v>
      </c>
      <c r="F24" s="12">
        <f>IFERROR('Data Sheet'!E27,0)</f>
        <v>348</v>
      </c>
      <c r="G24" s="12">
        <f>IFERROR('Data Sheet'!F27,0)</f>
        <v>375</v>
      </c>
      <c r="H24" s="12">
        <f>IFERROR('Data Sheet'!G27,0)</f>
        <v>399</v>
      </c>
      <c r="I24" s="12">
        <f>IFERROR('Data Sheet'!H27,0)</f>
        <v>441</v>
      </c>
      <c r="J24" s="12">
        <f>IFERROR('Data Sheet'!I27,0)</f>
        <v>584</v>
      </c>
      <c r="K24" s="12">
        <f>IFERROR('Data Sheet'!J27,0)</f>
        <v>693</v>
      </c>
      <c r="L24" s="12">
        <f>IFERROR('Data Sheet'!K27,0)</f>
        <v>826</v>
      </c>
    </row>
    <row r="25" spans="2:12" outlineLevel="1" x14ac:dyDescent="0.2">
      <c r="B25" s="15" t="s">
        <v>78</v>
      </c>
      <c r="C25" s="11">
        <f>IFERROR(C24/C6,0)</f>
        <v>8.3350740489094577E-3</v>
      </c>
      <c r="D25" s="11">
        <f t="shared" ref="D25:L25" si="8">IFERROR(D24/D6,0)</f>
        <v>8.1533421382563153E-3</v>
      </c>
      <c r="E25" s="11">
        <f t="shared" si="8"/>
        <v>8.2331741707670752E-3</v>
      </c>
      <c r="F25" s="11">
        <f t="shared" si="8"/>
        <v>1.6530495914877447E-2</v>
      </c>
      <c r="G25" s="11">
        <f t="shared" si="8"/>
        <v>1.7325817778599151E-2</v>
      </c>
      <c r="H25" s="11">
        <f t="shared" si="8"/>
        <v>1.3854647730823988E-2</v>
      </c>
      <c r="I25" s="11">
        <f t="shared" si="8"/>
        <v>1.0868761552680222E-2</v>
      </c>
      <c r="J25" s="11">
        <f t="shared" si="8"/>
        <v>1.1432150967034689E-2</v>
      </c>
      <c r="K25" s="11">
        <f t="shared" si="8"/>
        <v>1.146288209606987E-2</v>
      </c>
      <c r="L25" s="11">
        <f t="shared" si="8"/>
        <v>9.4309462915601015E-3</v>
      </c>
    </row>
    <row r="26" spans="2:12" outlineLevel="1" x14ac:dyDescent="0.2"/>
    <row r="27" spans="2:12" outlineLevel="1" x14ac:dyDescent="0.2">
      <c r="B27" s="24" t="s">
        <v>271</v>
      </c>
      <c r="C27" s="25">
        <f>C18-C24</f>
        <v>1053.3699999999997</v>
      </c>
      <c r="D27" s="25">
        <f t="shared" ref="D27:L27" si="9">D18-D24</f>
        <v>1512.7700000000011</v>
      </c>
      <c r="E27" s="25">
        <f t="shared" si="9"/>
        <v>1830.950000000001</v>
      </c>
      <c r="F27" s="25">
        <f t="shared" si="9"/>
        <v>2115</v>
      </c>
      <c r="G27" s="25">
        <f t="shared" si="9"/>
        <v>1350</v>
      </c>
      <c r="H27" s="25">
        <f t="shared" si="9"/>
        <v>2945</v>
      </c>
      <c r="I27" s="25">
        <f t="shared" si="9"/>
        <v>4441</v>
      </c>
      <c r="J27" s="25">
        <f t="shared" si="9"/>
        <v>4708</v>
      </c>
      <c r="K27" s="25">
        <f t="shared" si="9"/>
        <v>5001</v>
      </c>
      <c r="L27" s="25">
        <f t="shared" si="9"/>
        <v>7531</v>
      </c>
    </row>
    <row r="28" spans="2:12" outlineLevel="1" x14ac:dyDescent="0.2">
      <c r="B28" s="15" t="s">
        <v>1308</v>
      </c>
      <c r="C28" s="11">
        <f>C27/C6</f>
        <v>7.943469601827334E-2</v>
      </c>
      <c r="D28" s="11">
        <f t="shared" ref="D28:L28" si="10">D27/D6</f>
        <v>9.3845631792513234E-2</v>
      </c>
      <c r="E28" s="11">
        <f t="shared" si="10"/>
        <v>9.2572649520793304E-2</v>
      </c>
      <c r="F28" s="11">
        <f t="shared" si="10"/>
        <v>0.10046551396541896</v>
      </c>
      <c r="G28" s="11">
        <f t="shared" si="10"/>
        <v>6.237294400295694E-2</v>
      </c>
      <c r="H28" s="11">
        <f t="shared" si="10"/>
        <v>0.10226049515608181</v>
      </c>
      <c r="I28" s="11">
        <f t="shared" si="10"/>
        <v>0.10945163277880468</v>
      </c>
      <c r="J28" s="11">
        <f t="shared" si="10"/>
        <v>9.2161929371231702E-2</v>
      </c>
      <c r="K28" s="11">
        <f t="shared" si="10"/>
        <v>8.2721317983326714E-2</v>
      </c>
      <c r="L28" s="11">
        <f t="shared" si="10"/>
        <v>8.5986024844720496E-2</v>
      </c>
    </row>
    <row r="29" spans="2:12" outlineLevel="1" x14ac:dyDescent="0.2">
      <c r="B29" s="15"/>
    </row>
    <row r="30" spans="2:12" outlineLevel="1" x14ac:dyDescent="0.2">
      <c r="B30" t="s">
        <v>1309</v>
      </c>
      <c r="C30" s="13">
        <f>'Data Sheet'!B26</f>
        <v>-42.38</v>
      </c>
      <c r="D30" s="13">
        <f>'Data Sheet'!C26</f>
        <v>69.930000000000007</v>
      </c>
      <c r="E30" s="13">
        <f>'Data Sheet'!D26</f>
        <v>178.48</v>
      </c>
      <c r="F30" s="13">
        <f>'Data Sheet'!E26</f>
        <v>153</v>
      </c>
      <c r="G30" s="13">
        <f>'Data Sheet'!F26</f>
        <v>180</v>
      </c>
      <c r="H30" s="13">
        <f>'Data Sheet'!G26</f>
        <v>177</v>
      </c>
      <c r="I30" s="13">
        <f>'Data Sheet'!H26</f>
        <v>306</v>
      </c>
      <c r="J30" s="13">
        <f>'Data Sheet'!I26</f>
        <v>534</v>
      </c>
      <c r="K30" s="13">
        <f>'Data Sheet'!J26</f>
        <v>487</v>
      </c>
      <c r="L30" s="13">
        <f>'Data Sheet'!K26</f>
        <v>450</v>
      </c>
    </row>
    <row r="31" spans="2:12" outlineLevel="1" x14ac:dyDescent="0.2">
      <c r="B31" s="15" t="s">
        <v>1310</v>
      </c>
      <c r="C31" s="11">
        <f>C30/C6</f>
        <v>-3.1958783877027307E-3</v>
      </c>
      <c r="D31" s="11">
        <f t="shared" ref="D31:L31" si="11">D30/D6</f>
        <v>4.3381512267234587E-3</v>
      </c>
      <c r="E31" s="11">
        <f t="shared" si="11"/>
        <v>9.0239310120271889E-3</v>
      </c>
      <c r="F31" s="11">
        <f t="shared" si="11"/>
        <v>7.2677180315409463E-3</v>
      </c>
      <c r="G31" s="11">
        <f t="shared" si="11"/>
        <v>8.3163925337275922E-3</v>
      </c>
      <c r="H31" s="11">
        <f t="shared" si="11"/>
        <v>6.1460467377339491E-3</v>
      </c>
      <c r="I31" s="11">
        <f t="shared" si="11"/>
        <v>7.5415896487985214E-3</v>
      </c>
      <c r="J31" s="11">
        <f t="shared" si="11"/>
        <v>1.0453370918487198E-2</v>
      </c>
      <c r="K31" s="11">
        <f t="shared" si="11"/>
        <v>8.0554452825195178E-3</v>
      </c>
      <c r="L31" s="11">
        <f t="shared" si="11"/>
        <v>5.1379247351114356E-3</v>
      </c>
    </row>
    <row r="32" spans="2:12" outlineLevel="1" x14ac:dyDescent="0.2"/>
    <row r="33" spans="2:12" outlineLevel="1" x14ac:dyDescent="0.2">
      <c r="B33" s="24" t="s">
        <v>80</v>
      </c>
      <c r="C33" s="25">
        <f>IFERROR(C27+C30-C21,0)</f>
        <v>973.24999999999966</v>
      </c>
      <c r="D33" s="25">
        <f t="shared" ref="D33:L33" si="12">IFERROR(D27+D30-D21,0)</f>
        <v>1529.7800000000011</v>
      </c>
      <c r="E33" s="25">
        <f t="shared" si="12"/>
        <v>1956.890000000001</v>
      </c>
      <c r="F33" s="25">
        <f t="shared" si="12"/>
        <v>2102</v>
      </c>
      <c r="G33" s="25">
        <f t="shared" si="12"/>
        <v>1327</v>
      </c>
      <c r="H33" s="25">
        <f t="shared" si="12"/>
        <v>2904</v>
      </c>
      <c r="I33" s="25">
        <f t="shared" si="12"/>
        <v>4447</v>
      </c>
      <c r="J33" s="25">
        <f t="shared" si="12"/>
        <v>4623</v>
      </c>
      <c r="K33" s="25">
        <f t="shared" si="12"/>
        <v>4535</v>
      </c>
      <c r="L33" s="25">
        <f t="shared" si="12"/>
        <v>6801</v>
      </c>
    </row>
    <row r="34" spans="2:12" outlineLevel="1" x14ac:dyDescent="0.2">
      <c r="B34" s="15" t="s">
        <v>81</v>
      </c>
      <c r="C34" s="11">
        <f t="shared" ref="C34:L34" si="13">IFERROR(C33/C6,0)</f>
        <v>7.3392841926184088E-2</v>
      </c>
      <c r="D34" s="11">
        <f t="shared" si="13"/>
        <v>9.4900857766581109E-2</v>
      </c>
      <c r="E34" s="11">
        <f t="shared" si="13"/>
        <v>9.8940163369150014E-2</v>
      </c>
      <c r="F34" s="11">
        <f t="shared" si="13"/>
        <v>9.9847995439863196E-2</v>
      </c>
      <c r="G34" s="11">
        <f t="shared" si="13"/>
        <v>6.1310293845869522E-2</v>
      </c>
      <c r="H34" s="11">
        <f t="shared" si="13"/>
        <v>0.10083683461231292</v>
      </c>
      <c r="I34" s="11">
        <f t="shared" si="13"/>
        <v>0.10959950708564387</v>
      </c>
      <c r="J34" s="11">
        <f t="shared" si="13"/>
        <v>9.0498003288700959E-2</v>
      </c>
      <c r="K34" s="11">
        <f t="shared" si="13"/>
        <v>7.5013232764324464E-2</v>
      </c>
      <c r="L34" s="11">
        <f t="shared" si="13"/>
        <v>7.7651169163317504E-2</v>
      </c>
    </row>
    <row r="35" spans="2:12" outlineLevel="1" x14ac:dyDescent="0.2">
      <c r="B35" s="15"/>
    </row>
    <row r="36" spans="2:12" outlineLevel="1" x14ac:dyDescent="0.2">
      <c r="B36" t="s">
        <v>5</v>
      </c>
      <c r="C36" s="13">
        <f>IFERROR('Data Sheet'!B30,0)</f>
        <v>275.97000000000003</v>
      </c>
      <c r="D36" s="13">
        <f>IFERROR('Data Sheet'!C30,0)</f>
        <v>427.87</v>
      </c>
      <c r="E36" s="13">
        <f>IFERROR('Data Sheet'!D30,0)</f>
        <v>568.24</v>
      </c>
      <c r="F36" s="13">
        <f>IFERROR('Data Sheet'!E30,0)</f>
        <v>609</v>
      </c>
      <c r="G36" s="13">
        <f>IFERROR('Data Sheet'!F30,0)</f>
        <v>353</v>
      </c>
      <c r="H36" s="13">
        <f>IFERROR('Data Sheet'!G30,0)</f>
        <v>706</v>
      </c>
      <c r="I36" s="13">
        <f>IFERROR('Data Sheet'!H30,0)</f>
        <v>1173</v>
      </c>
      <c r="J36" s="13">
        <f>IFERROR('Data Sheet'!I30,0)</f>
        <v>1127</v>
      </c>
      <c r="K36" s="13">
        <f>IFERROR('Data Sheet'!J30,0)</f>
        <v>1198</v>
      </c>
      <c r="L36" s="13">
        <f>IFERROR('Data Sheet'!K30,0)</f>
        <v>1728</v>
      </c>
    </row>
    <row r="37" spans="2:12" outlineLevel="1" x14ac:dyDescent="0.2">
      <c r="B37" s="15" t="s">
        <v>82</v>
      </c>
      <c r="C37" s="11">
        <f>IFERROR(C36/C33,0)</f>
        <v>0.28355509889545349</v>
      </c>
      <c r="D37" s="11">
        <f t="shared" ref="D37:L37" si="14">IFERROR(D36/D33,0)</f>
        <v>0.27969381218214362</v>
      </c>
      <c r="E37" s="11">
        <f t="shared" si="14"/>
        <v>0.29037912197415272</v>
      </c>
      <c r="F37" s="11">
        <f t="shared" si="14"/>
        <v>0.28972407231208375</v>
      </c>
      <c r="G37" s="11">
        <f t="shared" si="14"/>
        <v>0.26601356443104746</v>
      </c>
      <c r="H37" s="11">
        <f t="shared" si="14"/>
        <v>0.24311294765840222</v>
      </c>
      <c r="I37" s="11">
        <f t="shared" si="14"/>
        <v>0.26377333033505734</v>
      </c>
      <c r="J37" s="11">
        <f t="shared" si="14"/>
        <v>0.24378109452736318</v>
      </c>
      <c r="K37" s="11">
        <f t="shared" si="14"/>
        <v>0.26416758544652702</v>
      </c>
      <c r="L37" s="11">
        <f t="shared" si="14"/>
        <v>0.25408028231142477</v>
      </c>
    </row>
    <row r="38" spans="2:12" outlineLevel="1" x14ac:dyDescent="0.2"/>
    <row r="39" spans="2:12" outlineLevel="1" x14ac:dyDescent="0.2">
      <c r="B39" s="24" t="s">
        <v>83</v>
      </c>
      <c r="C39" s="25">
        <f>IFERROR(C33-C36,0)</f>
        <v>697.27999999999963</v>
      </c>
      <c r="D39" s="25">
        <f t="shared" ref="D39:L39" si="15">IFERROR(D33-D36,0)</f>
        <v>1101.9100000000012</v>
      </c>
      <c r="E39" s="25">
        <f t="shared" si="15"/>
        <v>1388.650000000001</v>
      </c>
      <c r="F39" s="25">
        <f t="shared" si="15"/>
        <v>1493</v>
      </c>
      <c r="G39" s="25">
        <f t="shared" si="15"/>
        <v>974</v>
      </c>
      <c r="H39" s="25">
        <f t="shared" si="15"/>
        <v>2198</v>
      </c>
      <c r="I39" s="25">
        <f t="shared" si="15"/>
        <v>3274</v>
      </c>
      <c r="J39" s="25">
        <f t="shared" si="15"/>
        <v>3496</v>
      </c>
      <c r="K39" s="25">
        <f t="shared" si="15"/>
        <v>3337</v>
      </c>
      <c r="L39" s="25">
        <f t="shared" si="15"/>
        <v>5073</v>
      </c>
    </row>
    <row r="40" spans="2:12" outlineLevel="1" x14ac:dyDescent="0.2">
      <c r="B40" s="15" t="s">
        <v>84</v>
      </c>
      <c r="C40" s="11">
        <f t="shared" ref="C40:L40" si="16">IFERROR(C39/C6,0)</f>
        <v>5.2581927375586569E-2</v>
      </c>
      <c r="D40" s="11">
        <f t="shared" si="16"/>
        <v>6.8357675078490651E-2</v>
      </c>
      <c r="E40" s="11">
        <f t="shared" si="16"/>
        <v>7.0210005602037009E-2</v>
      </c>
      <c r="F40" s="11">
        <f t="shared" si="16"/>
        <v>7.0919627588827666E-2</v>
      </c>
      <c r="G40" s="11">
        <f t="shared" si="16"/>
        <v>4.5000924043614859E-2</v>
      </c>
      <c r="H40" s="11">
        <f t="shared" si="16"/>
        <v>7.632209451717073E-2</v>
      </c>
      <c r="I40" s="11">
        <f t="shared" si="16"/>
        <v>8.0690080098582875E-2</v>
      </c>
      <c r="J40" s="11">
        <f t="shared" si="16"/>
        <v>6.8436300994440535E-2</v>
      </c>
      <c r="K40" s="11">
        <f t="shared" si="16"/>
        <v>5.5197168188434564E-2</v>
      </c>
      <c r="L40" s="11">
        <f t="shared" si="16"/>
        <v>5.792153818048959E-2</v>
      </c>
    </row>
    <row r="41" spans="2:12" outlineLevel="1" x14ac:dyDescent="0.2"/>
    <row r="42" spans="2:12" outlineLevel="1" x14ac:dyDescent="0.2">
      <c r="B42" t="s">
        <v>1347</v>
      </c>
      <c r="C42" s="46">
        <f>IFERROR('Data Sheet'!B96,0)</f>
        <v>88.78</v>
      </c>
      <c r="D42" s="46">
        <f>IFERROR('Data Sheet'!C96,0)</f>
        <v>88.78</v>
      </c>
      <c r="E42" s="46">
        <f>IFERROR('Data Sheet'!D96,0)</f>
        <v>88.78</v>
      </c>
      <c r="F42" s="46">
        <f>IFERROR('Data Sheet'!E96,0)</f>
        <v>88.78</v>
      </c>
      <c r="G42" s="46">
        <f>IFERROR('Data Sheet'!F96,0)</f>
        <v>88.78</v>
      </c>
      <c r="H42" s="46">
        <f>IFERROR('Data Sheet'!G96,0)</f>
        <v>88.78</v>
      </c>
      <c r="I42" s="46">
        <f>IFERROR('Data Sheet'!H96,0)</f>
        <v>88.78</v>
      </c>
      <c r="J42" s="46">
        <f>IFERROR('Data Sheet'!I96,0)</f>
        <v>88.78</v>
      </c>
      <c r="K42" s="46">
        <f>IFERROR('Data Sheet'!J96,0)</f>
        <v>88.78</v>
      </c>
      <c r="L42" s="46">
        <f>IFERROR('Data Sheet'!K96,0)</f>
        <v>88.78</v>
      </c>
    </row>
    <row r="43" spans="2:12" outlineLevel="1" x14ac:dyDescent="0.2">
      <c r="C43" s="13"/>
      <c r="D43" s="13"/>
      <c r="E43" s="13"/>
      <c r="F43" s="13"/>
      <c r="G43" s="13"/>
      <c r="H43" s="13"/>
      <c r="I43" s="13"/>
      <c r="J43" s="13"/>
      <c r="K43" s="13"/>
      <c r="L43" s="13"/>
    </row>
    <row r="44" spans="2:12" outlineLevel="1" x14ac:dyDescent="0.2">
      <c r="B44" t="s">
        <v>85</v>
      </c>
      <c r="C44" s="13">
        <f>IFERROR((C39/C42),0)</f>
        <v>7.854021175940523</v>
      </c>
      <c r="D44" s="13">
        <f t="shared" ref="D44:L44" si="17">IFERROR((D39/D42),0)</f>
        <v>12.411691822482554</v>
      </c>
      <c r="E44" s="13">
        <f t="shared" si="17"/>
        <v>15.641473304798389</v>
      </c>
      <c r="F44" s="13">
        <f t="shared" si="17"/>
        <v>16.816850642036496</v>
      </c>
      <c r="G44" s="13">
        <f t="shared" si="17"/>
        <v>10.970939400765937</v>
      </c>
      <c r="H44" s="13">
        <f t="shared" si="17"/>
        <v>24.757828339716152</v>
      </c>
      <c r="I44" s="13">
        <f t="shared" si="17"/>
        <v>36.877675152061272</v>
      </c>
      <c r="J44" s="13">
        <f t="shared" si="17"/>
        <v>39.37823834196891</v>
      </c>
      <c r="K44" s="13">
        <f t="shared" si="17"/>
        <v>37.58729443568371</v>
      </c>
      <c r="L44" s="13">
        <f t="shared" si="17"/>
        <v>57.141248028835321</v>
      </c>
    </row>
    <row r="45" spans="2:12" outlineLevel="1" x14ac:dyDescent="0.2">
      <c r="B45" s="15" t="s">
        <v>88</v>
      </c>
      <c r="C45" s="11" t="s">
        <v>69</v>
      </c>
      <c r="D45" s="11">
        <f>IFERROR((D44/C44)-1,0)</f>
        <v>0.58029772831574378</v>
      </c>
      <c r="E45" s="11">
        <f t="shared" ref="E45:L45" si="18">IFERROR((E44/D44)-1,0)</f>
        <v>0.26022088918332664</v>
      </c>
      <c r="F45" s="187">
        <f t="shared" si="18"/>
        <v>7.5144924927086798E-2</v>
      </c>
      <c r="G45" s="11">
        <f t="shared" si="18"/>
        <v>-0.34762223710649709</v>
      </c>
      <c r="H45" s="11">
        <f t="shared" si="18"/>
        <v>1.2566735112936347</v>
      </c>
      <c r="I45" s="11">
        <f t="shared" si="18"/>
        <v>0.48953594176524096</v>
      </c>
      <c r="J45" s="11">
        <f t="shared" si="18"/>
        <v>6.7806963958460642E-2</v>
      </c>
      <c r="K45" s="11">
        <f t="shared" si="18"/>
        <v>-4.548054919908473E-2</v>
      </c>
      <c r="L45" s="11">
        <f t="shared" si="18"/>
        <v>0.52022774947557693</v>
      </c>
    </row>
    <row r="46" spans="2:12" outlineLevel="1" x14ac:dyDescent="0.2"/>
    <row r="47" spans="2:12" outlineLevel="1" x14ac:dyDescent="0.2">
      <c r="B47" t="s">
        <v>86</v>
      </c>
      <c r="C47" s="13">
        <f>IFERROR('Data Sheet'!B32,0)</f>
        <v>230.83</v>
      </c>
      <c r="D47" s="13">
        <f>IFERROR('Data Sheet'!C32,0)</f>
        <v>332.92</v>
      </c>
      <c r="E47" s="13">
        <f>IFERROR('Data Sheet'!D32,0)</f>
        <v>443.9</v>
      </c>
      <c r="F47" s="13">
        <f>IFERROR('Data Sheet'!E32,0)</f>
        <v>356</v>
      </c>
      <c r="G47" s="13">
        <f>IFERROR('Data Sheet'!F32,0)</f>
        <v>356</v>
      </c>
      <c r="H47" s="13">
        <f>IFERROR('Data Sheet'!G32,0)</f>
        <v>667.5</v>
      </c>
      <c r="I47" s="13">
        <f>IFERROR('Data Sheet'!H32,0)</f>
        <v>890</v>
      </c>
      <c r="J47" s="13">
        <f>IFERROR('Data Sheet'!I32,0)</f>
        <v>979</v>
      </c>
      <c r="K47" s="13">
        <f>IFERROR('Data Sheet'!J32,0)</f>
        <v>979</v>
      </c>
      <c r="L47" s="13">
        <f>IFERROR('Data Sheet'!K32,0)</f>
        <v>1335</v>
      </c>
    </row>
    <row r="48" spans="2:12" outlineLevel="1" x14ac:dyDescent="0.2">
      <c r="B48" t="s">
        <v>87</v>
      </c>
      <c r="C48" s="13">
        <f>IFERROR((C47/C42),0)</f>
        <v>2.6000225275963054</v>
      </c>
      <c r="D48" s="13">
        <f t="shared" ref="D48:L48" si="19">IFERROR((D47/D42),0)</f>
        <v>3.7499436810092366</v>
      </c>
      <c r="E48" s="13">
        <f t="shared" si="19"/>
        <v>5</v>
      </c>
      <c r="F48" s="13">
        <f t="shared" si="19"/>
        <v>4.0099121423744082</v>
      </c>
      <c r="G48" s="13">
        <f t="shared" si="19"/>
        <v>4.0099121423744082</v>
      </c>
      <c r="H48" s="13">
        <f t="shared" si="19"/>
        <v>7.5185852669520159</v>
      </c>
      <c r="I48" s="13">
        <f t="shared" si="19"/>
        <v>10.024780355936022</v>
      </c>
      <c r="J48" s="13">
        <f t="shared" si="19"/>
        <v>11.027258391529625</v>
      </c>
      <c r="K48" s="13">
        <f t="shared" si="19"/>
        <v>11.027258391529625</v>
      </c>
      <c r="L48" s="13">
        <f t="shared" si="19"/>
        <v>15.037170533904032</v>
      </c>
    </row>
    <row r="49" spans="1:12" outlineLevel="1" x14ac:dyDescent="0.2">
      <c r="B49" t="s">
        <v>89</v>
      </c>
      <c r="C49" s="11">
        <f>IFERROR((C48/C44),0)</f>
        <v>0.33104348324919702</v>
      </c>
      <c r="D49" s="11">
        <f t="shared" ref="D49:L49" si="20">IFERROR((D48/D44),0)</f>
        <v>0.30212993801671612</v>
      </c>
      <c r="E49" s="11">
        <f t="shared" si="20"/>
        <v>0.31966298203290944</v>
      </c>
      <c r="F49" s="11">
        <f t="shared" si="20"/>
        <v>0.23844608171466841</v>
      </c>
      <c r="G49" s="11">
        <f t="shared" si="20"/>
        <v>0.3655030800821355</v>
      </c>
      <c r="H49" s="11">
        <f t="shared" si="20"/>
        <v>0.30368516833484988</v>
      </c>
      <c r="I49" s="11">
        <f t="shared" si="20"/>
        <v>0.27183872938301773</v>
      </c>
      <c r="J49" s="11">
        <f t="shared" si="20"/>
        <v>0.28003432494279179</v>
      </c>
      <c r="K49" s="11">
        <f t="shared" si="20"/>
        <v>0.29337728498651489</v>
      </c>
      <c r="L49" s="11">
        <f t="shared" si="20"/>
        <v>0.26315789473684209</v>
      </c>
    </row>
    <row r="50" spans="1:12" outlineLevel="1" x14ac:dyDescent="0.2"/>
    <row r="51" spans="1:12" outlineLevel="1" x14ac:dyDescent="0.2">
      <c r="B51" s="24" t="s">
        <v>90</v>
      </c>
      <c r="C51" s="165">
        <f>IFERROR(IF(C44&gt;C48,1-C49,0),0)</f>
        <v>0.66895651675080292</v>
      </c>
      <c r="D51" s="165">
        <f t="shared" ref="D51:L51" si="21">IFERROR(IF(D44&gt;D48,1-D49,0),0)</f>
        <v>0.69787006198328383</v>
      </c>
      <c r="E51" s="165">
        <f t="shared" si="21"/>
        <v>0.68033701796709056</v>
      </c>
      <c r="F51" s="165">
        <f t="shared" si="21"/>
        <v>0.76155391828533159</v>
      </c>
      <c r="G51" s="165">
        <f t="shared" si="21"/>
        <v>0.6344969199178645</v>
      </c>
      <c r="H51" s="165">
        <f t="shared" si="21"/>
        <v>0.69631483166515018</v>
      </c>
      <c r="I51" s="165">
        <f t="shared" si="21"/>
        <v>0.72816127061698221</v>
      </c>
      <c r="J51" s="165">
        <f t="shared" si="21"/>
        <v>0.71996567505720821</v>
      </c>
      <c r="K51" s="165">
        <f t="shared" si="21"/>
        <v>0.70662271501348517</v>
      </c>
      <c r="L51" s="165">
        <f t="shared" si="21"/>
        <v>0.73684210526315796</v>
      </c>
    </row>
    <row r="53" spans="1:12" x14ac:dyDescent="0.2">
      <c r="A53" t="s">
        <v>67</v>
      </c>
      <c r="B53" s="18" t="s">
        <v>91</v>
      </c>
      <c r="C53" s="19"/>
      <c r="D53" s="19"/>
      <c r="E53" s="19"/>
      <c r="F53" s="19"/>
      <c r="G53" s="19"/>
      <c r="H53" s="19"/>
      <c r="I53" s="19"/>
      <c r="J53" s="19"/>
      <c r="K53" s="19"/>
      <c r="L53" s="19"/>
    </row>
    <row r="54" spans="1:12" outlineLevel="1" x14ac:dyDescent="0.2">
      <c r="B54" s="3" t="s">
        <v>39</v>
      </c>
      <c r="C54" s="12">
        <f>IFERROR('Data Sheet'!B58,0)</f>
        <v>88.78</v>
      </c>
      <c r="D54" s="12">
        <f>IFERROR('Data Sheet'!C58,0)</f>
        <v>88.78</v>
      </c>
      <c r="E54" s="12">
        <f>IFERROR('Data Sheet'!D58,0)</f>
        <v>88.78</v>
      </c>
      <c r="F54" s="12">
        <f>IFERROR('Data Sheet'!E58,0)</f>
        <v>89</v>
      </c>
      <c r="G54" s="12">
        <f>IFERROR('Data Sheet'!F58,0)</f>
        <v>89</v>
      </c>
      <c r="H54" s="12">
        <f>IFERROR('Data Sheet'!G58,0)</f>
        <v>89</v>
      </c>
      <c r="I54" s="12">
        <f>IFERROR('Data Sheet'!H58,0)</f>
        <v>89</v>
      </c>
      <c r="J54" s="12">
        <f>IFERROR('Data Sheet'!I58,0)</f>
        <v>89</v>
      </c>
      <c r="K54" s="12">
        <f>IFERROR('Data Sheet'!J58,0)</f>
        <v>89</v>
      </c>
      <c r="L54" s="12">
        <f>IFERROR('Data Sheet'!K58,0)</f>
        <v>89</v>
      </c>
    </row>
    <row r="55" spans="1:12" outlineLevel="1" x14ac:dyDescent="0.2">
      <c r="B55" s="3" t="s">
        <v>40</v>
      </c>
      <c r="C55" s="12">
        <f>IFERROR('Data Sheet'!B59,0)</f>
        <v>4143.6000000000004</v>
      </c>
      <c r="D55" s="12">
        <f>IFERROR('Data Sheet'!C59,0)</f>
        <v>5001.1000000000004</v>
      </c>
      <c r="E55" s="12">
        <f>IFERROR('Data Sheet'!D59,0)</f>
        <v>5981.37</v>
      </c>
      <c r="F55" s="12">
        <f>IFERROR('Data Sheet'!E59,0)</f>
        <v>6580</v>
      </c>
      <c r="G55" s="12">
        <f>IFERROR('Data Sheet'!F59,0)</f>
        <v>7408</v>
      </c>
      <c r="H55" s="12">
        <f>IFERROR('Data Sheet'!G59,0)</f>
        <v>9214</v>
      </c>
      <c r="I55" s="12">
        <f>IFERROR('Data Sheet'!H59,0)</f>
        <v>11762</v>
      </c>
      <c r="J55" s="12">
        <f>IFERROR('Data Sheet'!I59,0)</f>
        <v>9304</v>
      </c>
      <c r="K55" s="12">
        <f>IFERROR('Data Sheet'!J59,0)</f>
        <v>11535</v>
      </c>
      <c r="L55" s="12">
        <f>IFERROR('Data Sheet'!K59,0)</f>
        <v>15614</v>
      </c>
    </row>
    <row r="56" spans="1:12" outlineLevel="1" x14ac:dyDescent="0.2">
      <c r="B56" s="3" t="s">
        <v>41</v>
      </c>
      <c r="C56" s="12">
        <f>IFERROR('Data Sheet'!B60,0)</f>
        <v>1882.43</v>
      </c>
      <c r="D56" s="12">
        <f>IFERROR('Data Sheet'!C60,0)</f>
        <v>1691.01</v>
      </c>
      <c r="E56" s="12">
        <f>IFERROR('Data Sheet'!D60,0)</f>
        <v>2392.98</v>
      </c>
      <c r="F56" s="12">
        <f>IFERROR('Data Sheet'!E60,0)</f>
        <v>3562</v>
      </c>
      <c r="G56" s="12">
        <f>IFERROR('Data Sheet'!F60,0)</f>
        <v>5638</v>
      </c>
      <c r="H56" s="12">
        <f>IFERROR('Data Sheet'!G60,0)</f>
        <v>7275</v>
      </c>
      <c r="I56" s="12">
        <f>IFERROR('Data Sheet'!H60,0)</f>
        <v>9367</v>
      </c>
      <c r="J56" s="12">
        <f>IFERROR('Data Sheet'!I60,0)</f>
        <v>15528</v>
      </c>
      <c r="K56" s="12">
        <f>IFERROR('Data Sheet'!J60,0)</f>
        <v>20777</v>
      </c>
      <c r="L56" s="12">
        <f>IFERROR('Data Sheet'!K60,0)</f>
        <v>30621</v>
      </c>
    </row>
    <row r="57" spans="1:12" outlineLevel="1" x14ac:dyDescent="0.2">
      <c r="B57" s="3" t="s">
        <v>42</v>
      </c>
      <c r="C57" s="12">
        <f>IFERROR('Data Sheet'!B61,0)</f>
        <v>2292.7600000000002</v>
      </c>
      <c r="D57" s="12">
        <f>IFERROR('Data Sheet'!C61,0)</f>
        <v>2740.15</v>
      </c>
      <c r="E57" s="12">
        <f>IFERROR('Data Sheet'!D61,0)</f>
        <v>3246.71</v>
      </c>
      <c r="F57" s="12">
        <f>IFERROR('Data Sheet'!E61,0)</f>
        <v>3313</v>
      </c>
      <c r="G57" s="12">
        <f>IFERROR('Data Sheet'!F61,0)</f>
        <v>3309</v>
      </c>
      <c r="H57" s="12">
        <f>IFERROR('Data Sheet'!G61,0)</f>
        <v>4610</v>
      </c>
      <c r="I57" s="12">
        <f>IFERROR('Data Sheet'!H61,0)</f>
        <v>5802</v>
      </c>
      <c r="J57" s="12">
        <f>IFERROR('Data Sheet'!I61,0)</f>
        <v>6626</v>
      </c>
      <c r="K57" s="12">
        <f>IFERROR('Data Sheet'!J61,0)</f>
        <v>8244</v>
      </c>
      <c r="L57" s="12">
        <f>IFERROR('Data Sheet'!K61,0)</f>
        <v>14237</v>
      </c>
    </row>
    <row r="58" spans="1:12" outlineLevel="1" x14ac:dyDescent="0.2">
      <c r="B58" s="28" t="s">
        <v>92</v>
      </c>
      <c r="C58" s="27">
        <f>IFERROR('Data Sheet'!B63,0)</f>
        <v>8407.57</v>
      </c>
      <c r="D58" s="27">
        <f>IFERROR('Data Sheet'!C63,0)</f>
        <v>9521.0400000000009</v>
      </c>
      <c r="E58" s="27">
        <f>IFERROR('Data Sheet'!D63,0)</f>
        <v>11709.84</v>
      </c>
      <c r="F58" s="27">
        <f>IFERROR('Data Sheet'!E63,0)</f>
        <v>13544</v>
      </c>
      <c r="G58" s="27">
        <f>IFERROR('Data Sheet'!F63,0)</f>
        <v>16444</v>
      </c>
      <c r="H58" s="27">
        <f>IFERROR('Data Sheet'!G63,0)</f>
        <v>21188</v>
      </c>
      <c r="I58" s="27">
        <f>IFERROR('Data Sheet'!H63,0)</f>
        <v>27020</v>
      </c>
      <c r="J58" s="27">
        <f>IFERROR('Data Sheet'!I63,0)</f>
        <v>31547</v>
      </c>
      <c r="K58" s="27">
        <f>IFERROR('Data Sheet'!J63,0)</f>
        <v>40645</v>
      </c>
      <c r="L58" s="27">
        <f>IFERROR('Data Sheet'!K63,0)</f>
        <v>60561</v>
      </c>
    </row>
    <row r="59" spans="1:12" outlineLevel="1" x14ac:dyDescent="0.2">
      <c r="B59" s="1"/>
    </row>
    <row r="60" spans="1:12" outlineLevel="1" x14ac:dyDescent="0.2">
      <c r="B60" s="3" t="s">
        <v>93</v>
      </c>
      <c r="C60" s="12">
        <f>IFERROR('Data Sheet'!B64,0)</f>
        <v>1188.72</v>
      </c>
      <c r="D60" s="12">
        <f>IFERROR('Data Sheet'!C64,0)</f>
        <v>1473.81</v>
      </c>
      <c r="E60" s="12">
        <f>IFERROR('Data Sheet'!D64,0)</f>
        <v>1566.63</v>
      </c>
      <c r="F60" s="12">
        <f>IFERROR('Data Sheet'!E64,0)</f>
        <v>2633</v>
      </c>
      <c r="G60" s="12">
        <f>IFERROR('Data Sheet'!F64,0)</f>
        <v>2523</v>
      </c>
      <c r="H60" s="12">
        <f>IFERROR('Data Sheet'!G64,0)</f>
        <v>2544</v>
      </c>
      <c r="I60" s="12">
        <f>IFERROR('Data Sheet'!H64,0)</f>
        <v>2998</v>
      </c>
      <c r="J60" s="12">
        <f>IFERROR('Data Sheet'!I64,0)</f>
        <v>3709</v>
      </c>
      <c r="K60" s="12">
        <f>IFERROR('Data Sheet'!J64,0)</f>
        <v>4062</v>
      </c>
      <c r="L60" s="12">
        <f>IFERROR('Data Sheet'!K64,0)</f>
        <v>6878</v>
      </c>
    </row>
    <row r="61" spans="1:12" outlineLevel="1" x14ac:dyDescent="0.2">
      <c r="B61" s="3" t="s">
        <v>45</v>
      </c>
      <c r="C61" s="12">
        <f>IFERROR('Data Sheet'!B65,0)</f>
        <v>152.07</v>
      </c>
      <c r="D61" s="12">
        <f>IFERROR('Data Sheet'!C65,0)</f>
        <v>43.37</v>
      </c>
      <c r="E61" s="12">
        <f>IFERROR('Data Sheet'!D65,0)</f>
        <v>31.77</v>
      </c>
      <c r="F61" s="12">
        <f>IFERROR('Data Sheet'!E65,0)</f>
        <v>18</v>
      </c>
      <c r="G61" s="12">
        <f>IFERROR('Data Sheet'!F65,0)</f>
        <v>32</v>
      </c>
      <c r="H61" s="12">
        <f>IFERROR('Data Sheet'!G65,0)</f>
        <v>85</v>
      </c>
      <c r="I61" s="12">
        <f>IFERROR('Data Sheet'!H65,0)</f>
        <v>144</v>
      </c>
      <c r="J61" s="12">
        <f>IFERROR('Data Sheet'!I65,0)</f>
        <v>97</v>
      </c>
      <c r="K61" s="12">
        <f>IFERROR('Data Sheet'!J65,0)</f>
        <v>105</v>
      </c>
      <c r="L61" s="12">
        <f>IFERROR('Data Sheet'!K65,0)</f>
        <v>163</v>
      </c>
    </row>
    <row r="62" spans="1:12" outlineLevel="1" x14ac:dyDescent="0.2">
      <c r="B62" s="3" t="s">
        <v>46</v>
      </c>
      <c r="C62" s="12">
        <f>IFERROR('Data Sheet'!B66,0)</f>
        <v>430.73</v>
      </c>
      <c r="D62" s="12">
        <f>IFERROR('Data Sheet'!C66,0)</f>
        <v>35.99</v>
      </c>
      <c r="E62" s="12">
        <f>IFERROR('Data Sheet'!D66,0)</f>
        <v>108.42</v>
      </c>
      <c r="F62" s="12">
        <f>IFERROR('Data Sheet'!E66,0)</f>
        <v>158</v>
      </c>
      <c r="G62" s="12">
        <f>IFERROR('Data Sheet'!F66,0)</f>
        <v>2824</v>
      </c>
      <c r="H62" s="12">
        <f>IFERROR('Data Sheet'!G66,0)</f>
        <v>294</v>
      </c>
      <c r="I62" s="12">
        <f>IFERROR('Data Sheet'!H66,0)</f>
        <v>2515</v>
      </c>
      <c r="J62" s="12">
        <f>IFERROR('Data Sheet'!I66,0)</f>
        <v>2345</v>
      </c>
      <c r="K62" s="12">
        <f>IFERROR('Data Sheet'!J66,0)</f>
        <v>1988</v>
      </c>
      <c r="L62" s="12">
        <f>IFERROR('Data Sheet'!K66,0)</f>
        <v>3506</v>
      </c>
    </row>
    <row r="63" spans="1:12" outlineLevel="1" x14ac:dyDescent="0.2">
      <c r="B63" s="3" t="s">
        <v>97</v>
      </c>
      <c r="C63" s="12">
        <f>IFERROR('Data Sheet'!B67-SUM('Data Sheet'!B69:B71),0)</f>
        <v>723.77999999999975</v>
      </c>
      <c r="D63" s="12">
        <f>IFERROR('Data Sheet'!C67-SUM('Data Sheet'!C69:C71),0)</f>
        <v>1129.4300000000003</v>
      </c>
      <c r="E63" s="12">
        <f>IFERROR('Data Sheet'!D67-SUM('Data Sheet'!D69:D71),0)</f>
        <v>1477.2700000000004</v>
      </c>
      <c r="F63" s="12">
        <f>IFERROR('Data Sheet'!E67-SUM('Data Sheet'!E69:E71),0)</f>
        <v>1939</v>
      </c>
      <c r="G63" s="12">
        <f>IFERROR('Data Sheet'!F67-SUM('Data Sheet'!F69:F71),0)</f>
        <v>1731</v>
      </c>
      <c r="H63" s="12">
        <f>IFERROR('Data Sheet'!G67-SUM('Data Sheet'!G69:G71),0)</f>
        <v>2518</v>
      </c>
      <c r="I63" s="12">
        <f>IFERROR('Data Sheet'!H67-SUM('Data Sheet'!H69:H71),0)</f>
        <v>2762</v>
      </c>
      <c r="J63" s="12">
        <f>IFERROR('Data Sheet'!I67-SUM('Data Sheet'!I69:I71),0)</f>
        <v>3801</v>
      </c>
      <c r="K63" s="12">
        <f>IFERROR('Data Sheet'!J67-SUM('Data Sheet'!J69:J71),0)</f>
        <v>3654</v>
      </c>
      <c r="L63" s="12">
        <f>IFERROR('Data Sheet'!K67-SUM('Data Sheet'!K69:K71),0)</f>
        <v>4438</v>
      </c>
    </row>
    <row r="64" spans="1:12" outlineLevel="1" x14ac:dyDescent="0.2">
      <c r="B64" s="28" t="s">
        <v>94</v>
      </c>
      <c r="C64" s="29">
        <f>IFERROR(SUM(C60:C63),0)</f>
        <v>2495.2999999999997</v>
      </c>
      <c r="D64" s="29">
        <f t="shared" ref="D64:L64" si="22">IFERROR(SUM(D60:D63),0)</f>
        <v>2682.6000000000004</v>
      </c>
      <c r="E64" s="29">
        <f t="shared" si="22"/>
        <v>3184.0900000000006</v>
      </c>
      <c r="F64" s="29">
        <f t="shared" si="22"/>
        <v>4748</v>
      </c>
      <c r="G64" s="29">
        <f t="shared" si="22"/>
        <v>7110</v>
      </c>
      <c r="H64" s="29">
        <f t="shared" si="22"/>
        <v>5441</v>
      </c>
      <c r="I64" s="29">
        <f t="shared" si="22"/>
        <v>8419</v>
      </c>
      <c r="J64" s="29">
        <f t="shared" si="22"/>
        <v>9952</v>
      </c>
      <c r="K64" s="29">
        <f t="shared" si="22"/>
        <v>9809</v>
      </c>
      <c r="L64" s="29">
        <f t="shared" si="22"/>
        <v>14985</v>
      </c>
    </row>
    <row r="65" spans="1:12" outlineLevel="1" x14ac:dyDescent="0.2">
      <c r="B65" s="1"/>
    </row>
    <row r="66" spans="1:12" outlineLevel="1" x14ac:dyDescent="0.2">
      <c r="B66" s="3" t="s">
        <v>48</v>
      </c>
      <c r="C66" s="12">
        <f>IFERROR('Data Sheet'!B69,0)</f>
        <v>207.6</v>
      </c>
      <c r="D66" s="12">
        <f>IFERROR('Data Sheet'!C69,0)</f>
        <v>295.69</v>
      </c>
      <c r="E66" s="12">
        <f>IFERROR('Data Sheet'!D69,0)</f>
        <v>420.45</v>
      </c>
      <c r="F66" s="12">
        <f>IFERROR('Data Sheet'!E69,0)</f>
        <v>312</v>
      </c>
      <c r="G66" s="12">
        <f>IFERROR('Data Sheet'!F69,0)</f>
        <v>366</v>
      </c>
      <c r="H66" s="12">
        <f>IFERROR('Data Sheet'!G69,0)</f>
        <v>565</v>
      </c>
      <c r="I66" s="12">
        <f>IFERROR('Data Sheet'!H69,0)</f>
        <v>674</v>
      </c>
      <c r="J66" s="12">
        <f>IFERROR('Data Sheet'!I69,0)</f>
        <v>1018</v>
      </c>
      <c r="K66" s="12">
        <f>IFERROR('Data Sheet'!J69,0)</f>
        <v>1068</v>
      </c>
      <c r="L66" s="12">
        <f>IFERROR('Data Sheet'!K69,0)</f>
        <v>916</v>
      </c>
    </row>
    <row r="67" spans="1:12" outlineLevel="1" x14ac:dyDescent="0.2">
      <c r="B67" s="3" t="s">
        <v>49</v>
      </c>
      <c r="C67" s="12">
        <f>IFERROR('Data Sheet'!B70,0)</f>
        <v>4925.74</v>
      </c>
      <c r="D67" s="12">
        <f>IFERROR('Data Sheet'!C70,0)</f>
        <v>5924.84</v>
      </c>
      <c r="E67" s="12">
        <f>IFERROR('Data Sheet'!D70,0)</f>
        <v>7038.82</v>
      </c>
      <c r="F67" s="12">
        <f>IFERROR('Data Sheet'!E70,0)</f>
        <v>8103</v>
      </c>
      <c r="G67" s="12">
        <f>IFERROR('Data Sheet'!F70,0)</f>
        <v>8408</v>
      </c>
      <c r="H67" s="12">
        <f>IFERROR('Data Sheet'!G70,0)</f>
        <v>13609</v>
      </c>
      <c r="I67" s="12">
        <f>IFERROR('Data Sheet'!H70,0)</f>
        <v>16584</v>
      </c>
      <c r="J67" s="12">
        <f>IFERROR('Data Sheet'!I70,0)</f>
        <v>19051</v>
      </c>
      <c r="K67" s="12">
        <f>IFERROR('Data Sheet'!J70,0)</f>
        <v>28184</v>
      </c>
      <c r="L67" s="12">
        <f>IFERROR('Data Sheet'!K70,0)</f>
        <v>42743</v>
      </c>
    </row>
    <row r="68" spans="1:12" outlineLevel="1" x14ac:dyDescent="0.2">
      <c r="B68" s="3" t="s">
        <v>50</v>
      </c>
      <c r="C68" s="12">
        <f>IFERROR('Data Sheet'!B71,0)</f>
        <v>778.93</v>
      </c>
      <c r="D68" s="12">
        <f>IFERROR('Data Sheet'!C71,0)</f>
        <v>617.91</v>
      </c>
      <c r="E68" s="12">
        <f>IFERROR('Data Sheet'!D71,0)</f>
        <v>1066.48</v>
      </c>
      <c r="F68" s="12">
        <f>IFERROR('Data Sheet'!E71,0)</f>
        <v>381</v>
      </c>
      <c r="G68" s="12">
        <f>IFERROR('Data Sheet'!F71,0)</f>
        <v>560</v>
      </c>
      <c r="H68" s="12">
        <f>IFERROR('Data Sheet'!G71,0)</f>
        <v>1573</v>
      </c>
      <c r="I68" s="12">
        <f>IFERROR('Data Sheet'!H71,0)</f>
        <v>1343</v>
      </c>
      <c r="J68" s="12">
        <f>IFERROR('Data Sheet'!I71,0)</f>
        <v>1526</v>
      </c>
      <c r="K68" s="12">
        <f>IFERROR('Data Sheet'!J71,0)</f>
        <v>1584</v>
      </c>
      <c r="L68" s="12">
        <f>IFERROR('Data Sheet'!K71,0)</f>
        <v>1917</v>
      </c>
    </row>
    <row r="69" spans="1:12" outlineLevel="1" x14ac:dyDescent="0.2">
      <c r="B69" s="28" t="s">
        <v>95</v>
      </c>
      <c r="C69" s="27">
        <f>IFERROR(SUM(C66:C68),0)</f>
        <v>5912.27</v>
      </c>
      <c r="D69" s="27">
        <f t="shared" ref="D69:L69" si="23">IFERROR(SUM(D66:D68),0)</f>
        <v>6838.44</v>
      </c>
      <c r="E69" s="27">
        <f t="shared" si="23"/>
        <v>8525.75</v>
      </c>
      <c r="F69" s="27">
        <f t="shared" si="23"/>
        <v>8796</v>
      </c>
      <c r="G69" s="27">
        <f t="shared" si="23"/>
        <v>9334</v>
      </c>
      <c r="H69" s="27">
        <f t="shared" si="23"/>
        <v>15747</v>
      </c>
      <c r="I69" s="27">
        <f t="shared" si="23"/>
        <v>18601</v>
      </c>
      <c r="J69" s="27">
        <f t="shared" si="23"/>
        <v>21595</v>
      </c>
      <c r="K69" s="27">
        <f t="shared" si="23"/>
        <v>30836</v>
      </c>
      <c r="L69" s="27">
        <f t="shared" si="23"/>
        <v>45576</v>
      </c>
    </row>
    <row r="70" spans="1:12" outlineLevel="1" x14ac:dyDescent="0.2"/>
    <row r="71" spans="1:12" outlineLevel="1" x14ac:dyDescent="0.2">
      <c r="B71" s="28" t="s">
        <v>96</v>
      </c>
      <c r="C71" s="29">
        <f>IFERROR(C69+C64,0)</f>
        <v>8407.57</v>
      </c>
      <c r="D71" s="29">
        <f t="shared" ref="D71:L71" si="24">IFERROR(D69+D64,0)</f>
        <v>9521.0400000000009</v>
      </c>
      <c r="E71" s="29">
        <f t="shared" si="24"/>
        <v>11709.84</v>
      </c>
      <c r="F71" s="29">
        <f t="shared" si="24"/>
        <v>13544</v>
      </c>
      <c r="G71" s="29">
        <f t="shared" si="24"/>
        <v>16444</v>
      </c>
      <c r="H71" s="29">
        <f t="shared" si="24"/>
        <v>21188</v>
      </c>
      <c r="I71" s="29">
        <f t="shared" si="24"/>
        <v>27020</v>
      </c>
      <c r="J71" s="29">
        <f t="shared" si="24"/>
        <v>31547</v>
      </c>
      <c r="K71" s="29">
        <f t="shared" si="24"/>
        <v>40645</v>
      </c>
      <c r="L71" s="29">
        <f t="shared" si="24"/>
        <v>60561</v>
      </c>
    </row>
    <row r="73" spans="1:12" x14ac:dyDescent="0.2">
      <c r="A73" t="s">
        <v>67</v>
      </c>
      <c r="B73" s="18" t="s">
        <v>128</v>
      </c>
      <c r="C73" s="19"/>
      <c r="D73" s="19"/>
      <c r="E73" s="19"/>
      <c r="F73" s="19"/>
      <c r="G73" s="19"/>
      <c r="H73" s="19"/>
      <c r="I73" s="19"/>
      <c r="J73" s="19"/>
      <c r="K73" s="19"/>
      <c r="L73" s="19"/>
    </row>
    <row r="74" spans="1:12" outlineLevel="1" x14ac:dyDescent="0.2">
      <c r="B74" s="23" t="s">
        <v>129</v>
      </c>
    </row>
    <row r="75" spans="1:12" outlineLevel="1" x14ac:dyDescent="0.2">
      <c r="B75" t="s">
        <v>98</v>
      </c>
      <c r="C75" s="9">
        <f>IFERROR('cash flow data'!E4,0)</f>
        <v>1073</v>
      </c>
      <c r="D75" s="9">
        <f>IFERROR('cash flow data'!F4,0)</f>
        <v>1642</v>
      </c>
      <c r="E75" s="9">
        <f>IFERROR('cash flow data'!G4,0)</f>
        <v>2183</v>
      </c>
      <c r="F75" s="9">
        <f>IFERROR('cash flow data'!H4,0)</f>
        <v>2481</v>
      </c>
      <c r="G75" s="9">
        <f>IFERROR('cash flow data'!I4,0)</f>
        <v>1789</v>
      </c>
      <c r="H75" s="9">
        <f>IFERROR('cash flow data'!J4,0)</f>
        <v>3298</v>
      </c>
      <c r="I75" s="9">
        <f>IFERROR('cash flow data'!K4,0)</f>
        <v>4937</v>
      </c>
      <c r="J75" s="9">
        <f>IFERROR('cash flow data'!L4,0)</f>
        <v>5404</v>
      </c>
      <c r="K75" s="9">
        <f>IFERROR('cash flow data'!M4,0)</f>
        <v>5774</v>
      </c>
      <c r="L75" s="9">
        <f>IFERROR('cash flow data'!N4,0)</f>
        <v>8447</v>
      </c>
    </row>
    <row r="76" spans="1:12" outlineLevel="1" x14ac:dyDescent="0.2">
      <c r="B76" t="s">
        <v>99</v>
      </c>
      <c r="C76" s="9">
        <f>IFERROR('cash flow data'!E5,0)</f>
        <v>-12</v>
      </c>
      <c r="D76" s="9">
        <f>IFERROR('cash flow data'!F5,0)</f>
        <v>-90</v>
      </c>
      <c r="E76" s="9">
        <f>IFERROR('cash flow data'!G5,0)</f>
        <v>-139</v>
      </c>
      <c r="F76" s="9">
        <f>IFERROR('cash flow data'!H5,0)</f>
        <v>109</v>
      </c>
      <c r="G76" s="9">
        <f>IFERROR('cash flow data'!I5,0)</f>
        <v>-59</v>
      </c>
      <c r="H76" s="9">
        <f>IFERROR('cash flow data'!J5,0)</f>
        <v>-207</v>
      </c>
      <c r="I76" s="9">
        <f>IFERROR('cash flow data'!K5,0)</f>
        <v>-112</v>
      </c>
      <c r="J76" s="9">
        <f>IFERROR('cash flow data'!L5,0)</f>
        <v>-348</v>
      </c>
      <c r="K76" s="9">
        <f>IFERROR('cash flow data'!M5,0)</f>
        <v>-95</v>
      </c>
      <c r="L76" s="9">
        <f>IFERROR('cash flow data'!N5,0)</f>
        <v>210</v>
      </c>
    </row>
    <row r="77" spans="1:12" outlineLevel="1" x14ac:dyDescent="0.2">
      <c r="B77" t="s">
        <v>100</v>
      </c>
      <c r="C77" s="9">
        <f>IFERROR('cash flow data'!E6,0)</f>
        <v>-448</v>
      </c>
      <c r="D77" s="9">
        <f>IFERROR('cash flow data'!F6,0)</f>
        <v>-996</v>
      </c>
      <c r="E77" s="9">
        <f>IFERROR('cash flow data'!G6,0)</f>
        <v>-1120</v>
      </c>
      <c r="F77" s="9">
        <f>IFERROR('cash flow data'!H6,0)</f>
        <v>-1057</v>
      </c>
      <c r="G77" s="9">
        <f>IFERROR('cash flow data'!I6,0)</f>
        <v>-316</v>
      </c>
      <c r="H77" s="9">
        <f>IFERROR('cash flow data'!J6,0)</f>
        <v>-5199</v>
      </c>
      <c r="I77" s="9">
        <f>IFERROR('cash flow data'!K6,0)</f>
        <v>-2977</v>
      </c>
      <c r="J77" s="9">
        <f>IFERROR('cash flow data'!L6,0)</f>
        <v>-2462</v>
      </c>
      <c r="K77" s="9">
        <f>IFERROR('cash flow data'!M6,0)</f>
        <v>-9072</v>
      </c>
      <c r="L77" s="9">
        <f>IFERROR('cash flow data'!N6,0)</f>
        <v>-11592</v>
      </c>
    </row>
    <row r="78" spans="1:12" outlineLevel="1" x14ac:dyDescent="0.2">
      <c r="B78" t="s">
        <v>101</v>
      </c>
      <c r="C78" s="9">
        <f>IFERROR('cash flow data'!E7,0)</f>
        <v>238</v>
      </c>
      <c r="D78" s="9">
        <f>IFERROR('cash flow data'!F7,0)</f>
        <v>95</v>
      </c>
      <c r="E78" s="9">
        <f>IFERROR('cash flow data'!G7,0)</f>
        <v>32</v>
      </c>
      <c r="F78" s="9">
        <f>IFERROR('cash flow data'!H7,0)</f>
        <v>-310</v>
      </c>
      <c r="G78" s="9">
        <f>IFERROR('cash flow data'!I7,0)</f>
        <v>195</v>
      </c>
      <c r="H78" s="9">
        <f>IFERROR('cash flow data'!J7,0)</f>
        <v>504</v>
      </c>
      <c r="I78" s="9">
        <f>IFERROR('cash flow data'!K7,0)</f>
        <v>-89</v>
      </c>
      <c r="J78" s="9">
        <f>IFERROR('cash flow data'!L7,0)</f>
        <v>196</v>
      </c>
      <c r="K78" s="9">
        <f>IFERROR('cash flow data'!M7,0)</f>
        <v>564</v>
      </c>
      <c r="L78" s="9">
        <f>IFERROR('cash flow data'!N7,0)</f>
        <v>472</v>
      </c>
    </row>
    <row r="79" spans="1:12" outlineLevel="1" x14ac:dyDescent="0.2">
      <c r="B79" t="s">
        <v>102</v>
      </c>
      <c r="C79" s="9">
        <f>IFERROR('cash flow data'!E8,0)</f>
        <v>0</v>
      </c>
      <c r="D79" s="9">
        <f>IFERROR('cash flow data'!F8,0)</f>
        <v>3</v>
      </c>
      <c r="E79" s="9">
        <f>IFERROR('cash flow data'!G8,0)</f>
        <v>-24</v>
      </c>
      <c r="F79" s="9">
        <f>IFERROR('cash flow data'!H8,0)</f>
        <v>-20</v>
      </c>
      <c r="G79" s="9">
        <f>IFERROR('cash flow data'!I8,0)</f>
        <v>-8</v>
      </c>
      <c r="H79" s="9">
        <f>IFERROR('cash flow data'!J8,0)</f>
        <v>-3</v>
      </c>
      <c r="I79" s="9">
        <f>IFERROR('cash flow data'!K8,0)</f>
        <v>-18</v>
      </c>
      <c r="J79" s="9">
        <f>IFERROR('cash flow data'!L8,0)</f>
        <v>-21</v>
      </c>
      <c r="K79" s="9">
        <f>IFERROR('cash flow data'!M8,0)</f>
        <v>4</v>
      </c>
      <c r="L79" s="9">
        <f>IFERROR('cash flow data'!N8,0)</f>
        <v>-8</v>
      </c>
    </row>
    <row r="80" spans="1:12" outlineLevel="1" x14ac:dyDescent="0.2">
      <c r="B80" t="s">
        <v>103</v>
      </c>
      <c r="C80" s="9">
        <f>IFERROR('cash flow data'!E9,0)</f>
        <v>375</v>
      </c>
      <c r="D80" s="9">
        <f>IFERROR('cash flow data'!F9,0)</f>
        <v>22</v>
      </c>
      <c r="E80" s="9">
        <f>IFERROR('cash flow data'!G9,0)</f>
        <v>206</v>
      </c>
      <c r="F80" s="9">
        <f>IFERROR('cash flow data'!H9,0)</f>
        <v>-226</v>
      </c>
      <c r="G80" s="9">
        <f>IFERROR('cash flow data'!I9,0)</f>
        <v>184</v>
      </c>
      <c r="H80" s="9">
        <f>IFERROR('cash flow data'!J9,0)</f>
        <v>497</v>
      </c>
      <c r="I80" s="9">
        <f>IFERROR('cash flow data'!K9,0)</f>
        <v>882</v>
      </c>
      <c r="J80" s="9">
        <f>IFERROR('cash flow data'!L9,0)</f>
        <v>57</v>
      </c>
      <c r="K80" s="9">
        <f>IFERROR('cash flow data'!M9,0)</f>
        <v>905</v>
      </c>
      <c r="L80" s="9">
        <f>IFERROR('cash flow data'!N9,0)</f>
        <v>2494</v>
      </c>
    </row>
    <row r="81" spans="2:12" outlineLevel="1" x14ac:dyDescent="0.2">
      <c r="B81" t="s">
        <v>104</v>
      </c>
      <c r="C81" s="9">
        <f>IFERROR('cash flow data'!E10,0)</f>
        <v>916</v>
      </c>
      <c r="D81" s="9">
        <f>IFERROR('cash flow data'!F10,0)</f>
        <v>-1237</v>
      </c>
      <c r="E81" s="9">
        <f>IFERROR('cash flow data'!G10,0)</f>
        <v>-304</v>
      </c>
      <c r="F81" s="9">
        <f>IFERROR('cash flow data'!H10,0)</f>
        <v>-2272</v>
      </c>
      <c r="G81" s="9">
        <f>IFERROR('cash flow data'!I10,0)</f>
        <v>2621</v>
      </c>
      <c r="H81" s="9">
        <f>IFERROR('cash flow data'!J10,0)</f>
        <v>-3220</v>
      </c>
      <c r="I81" s="9">
        <f>IFERROR('cash flow data'!K10,0)</f>
        <v>-2413</v>
      </c>
      <c r="J81" s="9">
        <f>IFERROR('cash flow data'!L10,0)</f>
        <v>-2536</v>
      </c>
      <c r="K81" s="9">
        <f>IFERROR('cash flow data'!M10,0)</f>
        <v>-5226</v>
      </c>
      <c r="L81" s="9">
        <f>IFERROR('cash flow data'!N10,0)</f>
        <v>-1120</v>
      </c>
    </row>
    <row r="82" spans="2:12" outlineLevel="1" x14ac:dyDescent="0.2">
      <c r="B82" t="s">
        <v>105</v>
      </c>
      <c r="C82" s="9">
        <f>IFERROR('cash flow data'!E11,0)</f>
        <v>-277</v>
      </c>
      <c r="D82" s="9">
        <f>IFERROR('cash flow data'!F11,0)</f>
        <v>-456</v>
      </c>
      <c r="E82" s="9">
        <f>IFERROR('cash flow data'!G11,0)</f>
        <v>-636</v>
      </c>
      <c r="F82" s="9">
        <f>IFERROR('cash flow data'!H11,0)</f>
        <v>-557</v>
      </c>
      <c r="G82" s="9">
        <f>IFERROR('cash flow data'!I11,0)</f>
        <v>-271</v>
      </c>
      <c r="H82" s="9">
        <f>IFERROR('cash flow data'!J11,0)</f>
        <v>-802</v>
      </c>
      <c r="I82" s="9">
        <f>IFERROR('cash flow data'!K11,0)</f>
        <v>-1154</v>
      </c>
      <c r="J82" s="9">
        <f>IFERROR('cash flow data'!L11,0)</f>
        <v>-1173</v>
      </c>
      <c r="K82" s="9">
        <f>IFERROR('cash flow data'!M11,0)</f>
        <v>-1089</v>
      </c>
      <c r="L82" s="9">
        <f>IFERROR('cash flow data'!N11,0)</f>
        <v>-1737</v>
      </c>
    </row>
    <row r="83" spans="2:12" outlineLevel="1" x14ac:dyDescent="0.2">
      <c r="B83" s="26" t="s">
        <v>130</v>
      </c>
      <c r="C83" s="30">
        <f>IFERROR(SUM(C75:C82),0)</f>
        <v>1865</v>
      </c>
      <c r="D83" s="30">
        <f t="shared" ref="D83:L83" si="25">IFERROR(SUM(D75:D82),0)</f>
        <v>-1017</v>
      </c>
      <c r="E83" s="30">
        <f t="shared" si="25"/>
        <v>198</v>
      </c>
      <c r="F83" s="30">
        <f t="shared" si="25"/>
        <v>-1852</v>
      </c>
      <c r="G83" s="30">
        <f t="shared" si="25"/>
        <v>4135</v>
      </c>
      <c r="H83" s="30">
        <f t="shared" si="25"/>
        <v>-5132</v>
      </c>
      <c r="I83" s="30">
        <f t="shared" si="25"/>
        <v>-944</v>
      </c>
      <c r="J83" s="30">
        <f t="shared" si="25"/>
        <v>-883</v>
      </c>
      <c r="K83" s="30">
        <f t="shared" si="25"/>
        <v>-8235</v>
      </c>
      <c r="L83" s="30">
        <f t="shared" si="25"/>
        <v>-2834</v>
      </c>
    </row>
    <row r="84" spans="2:12" outlineLevel="1" x14ac:dyDescent="0.2"/>
    <row r="85" spans="2:12" outlineLevel="1" x14ac:dyDescent="0.2">
      <c r="B85" s="23" t="s">
        <v>131</v>
      </c>
    </row>
    <row r="86" spans="2:12" outlineLevel="1" x14ac:dyDescent="0.2">
      <c r="B86" t="s">
        <v>106</v>
      </c>
      <c r="C86" s="9">
        <f>IFERROR('cash flow data'!E13,0)</f>
        <v>-256</v>
      </c>
      <c r="D86" s="9">
        <f>IFERROR('cash flow data'!F13,0)</f>
        <v>-305</v>
      </c>
      <c r="E86" s="9">
        <f>IFERROR('cash flow data'!G13,0)</f>
        <v>-265</v>
      </c>
      <c r="F86" s="9">
        <f>IFERROR('cash flow data'!H13,0)</f>
        <v>-355</v>
      </c>
      <c r="G86" s="9">
        <f>IFERROR('cash flow data'!I13,0)</f>
        <v>-146</v>
      </c>
      <c r="H86" s="9">
        <f>IFERROR('cash flow data'!J13,0)</f>
        <v>-224</v>
      </c>
      <c r="I86" s="9">
        <f>IFERROR('cash flow data'!K13,0)</f>
        <v>-432</v>
      </c>
      <c r="J86" s="9">
        <f>IFERROR('cash flow data'!L13,0)</f>
        <v>-691</v>
      </c>
      <c r="K86" s="9">
        <f>IFERROR('cash flow data'!M13,0)</f>
        <v>-494</v>
      </c>
      <c r="L86" s="9">
        <f>IFERROR('cash flow data'!N13,0)</f>
        <v>-902</v>
      </c>
    </row>
    <row r="87" spans="2:12" outlineLevel="1" x14ac:dyDescent="0.2">
      <c r="B87" t="s">
        <v>107</v>
      </c>
      <c r="C87" s="9">
        <f>IFERROR('cash flow data'!E14,0)</f>
        <v>5</v>
      </c>
      <c r="D87" s="9">
        <f>IFERROR('cash flow data'!F14,0)</f>
        <v>6</v>
      </c>
      <c r="E87" s="9">
        <f>IFERROR('cash flow data'!G14,0)</f>
        <v>1</v>
      </c>
      <c r="F87" s="9">
        <f>IFERROR('cash flow data'!H14,0)</f>
        <v>10</v>
      </c>
      <c r="G87" s="9">
        <f>IFERROR('cash flow data'!I14,0)</f>
        <v>7</v>
      </c>
      <c r="H87" s="9">
        <f>IFERROR('cash flow data'!J14,0)</f>
        <v>8</v>
      </c>
      <c r="I87" s="9">
        <f>IFERROR('cash flow data'!K14,0)</f>
        <v>12</v>
      </c>
      <c r="J87" s="9">
        <f>IFERROR('cash flow data'!L14,0)</f>
        <v>20</v>
      </c>
      <c r="K87" s="9">
        <f>IFERROR('cash flow data'!M14,0)</f>
        <v>24</v>
      </c>
      <c r="L87" s="9">
        <f>IFERROR('cash flow data'!N14,0)</f>
        <v>25</v>
      </c>
    </row>
    <row r="88" spans="2:12" outlineLevel="1" x14ac:dyDescent="0.2">
      <c r="B88" t="s">
        <v>108</v>
      </c>
      <c r="C88" s="9">
        <f>IFERROR('cash flow data'!E15,0)</f>
        <v>-325</v>
      </c>
      <c r="D88" s="9">
        <f>IFERROR('cash flow data'!F15,0)</f>
        <v>0</v>
      </c>
      <c r="E88" s="9">
        <f>IFERROR('cash flow data'!G15,0)</f>
        <v>-36</v>
      </c>
      <c r="F88" s="9">
        <f>IFERROR('cash flow data'!H15,0)</f>
        <v>-13</v>
      </c>
      <c r="G88" s="9">
        <f>IFERROR('cash flow data'!I15,0)</f>
        <v>-2656</v>
      </c>
      <c r="H88" s="9">
        <f>IFERROR('cash flow data'!J15,0)</f>
        <v>-253</v>
      </c>
      <c r="I88" s="9">
        <f>IFERROR('cash flow data'!K15,0)</f>
        <v>-2104</v>
      </c>
      <c r="J88" s="9">
        <f>IFERROR('cash flow data'!L15,0)</f>
        <v>-21893</v>
      </c>
      <c r="K88" s="9">
        <f>IFERROR('cash flow data'!M15,0)</f>
        <v>-15342</v>
      </c>
      <c r="L88" s="9">
        <f>IFERROR('cash flow data'!N15,0)</f>
        <v>-22035</v>
      </c>
    </row>
    <row r="89" spans="2:12" outlineLevel="1" x14ac:dyDescent="0.2">
      <c r="B89" t="s">
        <v>109</v>
      </c>
      <c r="C89" s="9">
        <f>IFERROR('cash flow data'!E16,0)</f>
        <v>0</v>
      </c>
      <c r="D89" s="9">
        <f>IFERROR('cash flow data'!F16,0)</f>
        <v>412</v>
      </c>
      <c r="E89" s="9">
        <f>IFERROR('cash flow data'!G16,0)</f>
        <v>18</v>
      </c>
      <c r="F89" s="9">
        <f>IFERROR('cash flow data'!H16,0)</f>
        <v>0</v>
      </c>
      <c r="G89" s="9">
        <f>IFERROR('cash flow data'!I16,0)</f>
        <v>43</v>
      </c>
      <c r="H89" s="9">
        <f>IFERROR('cash flow data'!J16,0)</f>
        <v>2870</v>
      </c>
      <c r="I89" s="9">
        <f>IFERROR('cash flow data'!K16,0)</f>
        <v>0</v>
      </c>
      <c r="J89" s="9">
        <f>IFERROR('cash flow data'!L16,0)</f>
        <v>22213</v>
      </c>
      <c r="K89" s="9">
        <f>IFERROR('cash flow data'!M16,0)</f>
        <v>15747</v>
      </c>
      <c r="L89" s="9">
        <f>IFERROR('cash flow data'!N16,0)</f>
        <v>20797</v>
      </c>
    </row>
    <row r="90" spans="2:12" outlineLevel="1" x14ac:dyDescent="0.2">
      <c r="B90" t="s">
        <v>110</v>
      </c>
      <c r="C90" s="9">
        <f>IFERROR('cash flow data'!E17,0)</f>
        <v>41</v>
      </c>
      <c r="D90" s="9">
        <f>IFERROR('cash flow data'!F17,0)</f>
        <v>64</v>
      </c>
      <c r="E90" s="9">
        <f>IFERROR('cash flow data'!G17,0)</f>
        <v>85</v>
      </c>
      <c r="F90" s="9">
        <f>IFERROR('cash flow data'!H17,0)</f>
        <v>73</v>
      </c>
      <c r="G90" s="9">
        <f>IFERROR('cash flow data'!I17,0)</f>
        <v>49</v>
      </c>
      <c r="H90" s="9">
        <f>IFERROR('cash flow data'!J17,0)</f>
        <v>56</v>
      </c>
      <c r="I90" s="9">
        <f>IFERROR('cash flow data'!K17,0)</f>
        <v>143</v>
      </c>
      <c r="J90" s="9">
        <f>IFERROR('cash flow data'!L17,0)</f>
        <v>249</v>
      </c>
      <c r="K90" s="9">
        <f>IFERROR('cash flow data'!M17,0)</f>
        <v>288</v>
      </c>
      <c r="L90" s="9">
        <f>IFERROR('cash flow data'!N17,0)</f>
        <v>227</v>
      </c>
    </row>
    <row r="91" spans="2:12" outlineLevel="1" x14ac:dyDescent="0.2">
      <c r="B91" t="s">
        <v>111</v>
      </c>
      <c r="C91" s="9">
        <f>IFERROR('cash flow data'!E18,0)</f>
        <v>0</v>
      </c>
      <c r="D91" s="9">
        <f>IFERROR('cash flow data'!F18,0)</f>
        <v>0</v>
      </c>
      <c r="E91" s="9">
        <f>IFERROR('cash flow data'!G18,0)</f>
        <v>0</v>
      </c>
      <c r="F91" s="9">
        <f>IFERROR('cash flow data'!H18,0)</f>
        <v>0</v>
      </c>
      <c r="G91" s="9">
        <f>IFERROR('cash flow data'!I18,0)</f>
        <v>0</v>
      </c>
      <c r="H91" s="9">
        <f>IFERROR('cash flow data'!J18,0)</f>
        <v>0</v>
      </c>
      <c r="I91" s="9">
        <f>IFERROR('cash flow data'!K18,0)</f>
        <v>0</v>
      </c>
      <c r="J91" s="9">
        <f>IFERROR('cash flow data'!L18,0)</f>
        <v>0</v>
      </c>
      <c r="K91" s="9">
        <f>IFERROR('cash flow data'!M18,0)</f>
        <v>0</v>
      </c>
      <c r="L91" s="9">
        <f>IFERROR('cash flow data'!N18,0)</f>
        <v>0</v>
      </c>
    </row>
    <row r="92" spans="2:12" outlineLevel="1" x14ac:dyDescent="0.2">
      <c r="B92" t="s">
        <v>112</v>
      </c>
      <c r="C92" s="9">
        <f>IFERROR('cash flow data'!E19,0)</f>
        <v>0</v>
      </c>
      <c r="D92" s="9">
        <f>IFERROR('cash flow data'!F19,0)</f>
        <v>0</v>
      </c>
      <c r="E92" s="9">
        <f>IFERROR('cash flow data'!G19,0)</f>
        <v>0</v>
      </c>
      <c r="F92" s="9">
        <f>IFERROR('cash flow data'!H19,0)</f>
        <v>-39</v>
      </c>
      <c r="G92" s="9">
        <f>IFERROR('cash flow data'!I19,0)</f>
        <v>0</v>
      </c>
      <c r="H92" s="9">
        <f>IFERROR('cash flow data'!J19,0)</f>
        <v>0</v>
      </c>
      <c r="I92" s="9">
        <f>IFERROR('cash flow data'!K19,0)</f>
        <v>0</v>
      </c>
      <c r="J92" s="9">
        <f>IFERROR('cash flow data'!L19,0)</f>
        <v>0</v>
      </c>
      <c r="K92" s="9">
        <f>IFERROR('cash flow data'!M19,0)</f>
        <v>0</v>
      </c>
      <c r="L92" s="9">
        <f>IFERROR('cash flow data'!N19,0)</f>
        <v>0</v>
      </c>
    </row>
    <row r="93" spans="2:12" outlineLevel="1" x14ac:dyDescent="0.2">
      <c r="B93" t="s">
        <v>113</v>
      </c>
      <c r="C93" s="9">
        <f>IFERROR('cash flow data'!E20,0)</f>
        <v>0</v>
      </c>
      <c r="D93" s="9">
        <f>IFERROR('cash flow data'!F20,0)</f>
        <v>0</v>
      </c>
      <c r="E93" s="9">
        <f>IFERROR('cash flow data'!G20,0)</f>
        <v>0</v>
      </c>
      <c r="F93" s="9">
        <f>IFERROR('cash flow data'!H20,0)</f>
        <v>0</v>
      </c>
      <c r="G93" s="9">
        <f>IFERROR('cash flow data'!I20,0)</f>
        <v>0</v>
      </c>
      <c r="H93" s="9">
        <f>IFERROR('cash flow data'!J20,0)</f>
        <v>0</v>
      </c>
      <c r="I93" s="9">
        <f>IFERROR('cash flow data'!K20,0)</f>
        <v>0</v>
      </c>
      <c r="J93" s="9">
        <f>IFERROR('cash flow data'!L20,0)</f>
        <v>0</v>
      </c>
      <c r="K93" s="9">
        <f>IFERROR('cash flow data'!M20,0)</f>
        <v>0</v>
      </c>
      <c r="L93" s="9">
        <f>IFERROR('cash flow data'!N20,0)</f>
        <v>0</v>
      </c>
    </row>
    <row r="94" spans="2:12" outlineLevel="1" x14ac:dyDescent="0.2">
      <c r="B94" t="s">
        <v>114</v>
      </c>
      <c r="C94" s="9">
        <f>IFERROR('cash flow data'!E21,0)</f>
        <v>0</v>
      </c>
      <c r="D94" s="9">
        <f>IFERROR('cash flow data'!F21,0)</f>
        <v>0</v>
      </c>
      <c r="E94" s="9">
        <f>IFERROR('cash flow data'!G21,0)</f>
        <v>0</v>
      </c>
      <c r="F94" s="9">
        <f>IFERROR('cash flow data'!H21,0)</f>
        <v>0</v>
      </c>
      <c r="G94" s="9">
        <f>IFERROR('cash flow data'!I21,0)</f>
        <v>0</v>
      </c>
      <c r="H94" s="9">
        <f>IFERROR('cash flow data'!J21,0)</f>
        <v>0</v>
      </c>
      <c r="I94" s="9">
        <f>IFERROR('cash flow data'!K21,0)</f>
        <v>0</v>
      </c>
      <c r="J94" s="9">
        <f>IFERROR('cash flow data'!L21,0)</f>
        <v>0</v>
      </c>
      <c r="K94" s="9">
        <f>IFERROR('cash flow data'!M21,0)</f>
        <v>0</v>
      </c>
      <c r="L94" s="9">
        <f>IFERROR('cash flow data'!N21,0)</f>
        <v>0</v>
      </c>
    </row>
    <row r="95" spans="2:12" outlineLevel="1" x14ac:dyDescent="0.2">
      <c r="B95" t="s">
        <v>115</v>
      </c>
      <c r="C95" s="9">
        <f>IFERROR('cash flow data'!E22,0)</f>
        <v>-385</v>
      </c>
      <c r="D95" s="9">
        <f>IFERROR('cash flow data'!F22,0)</f>
        <v>0</v>
      </c>
      <c r="E95" s="9">
        <f>IFERROR('cash flow data'!G22,0)</f>
        <v>0</v>
      </c>
      <c r="F95" s="9">
        <f>IFERROR('cash flow data'!H22,0)</f>
        <v>0</v>
      </c>
      <c r="G95" s="9">
        <f>IFERROR('cash flow data'!I22,0)</f>
        <v>0</v>
      </c>
      <c r="H95" s="9">
        <f>IFERROR('cash flow data'!J22,0)</f>
        <v>0</v>
      </c>
      <c r="I95" s="9">
        <f>IFERROR('cash flow data'!K22,0)</f>
        <v>0</v>
      </c>
      <c r="J95" s="9">
        <f>IFERROR('cash flow data'!L22,0)</f>
        <v>0</v>
      </c>
      <c r="K95" s="9">
        <f>IFERROR('cash flow data'!M22,0)</f>
        <v>0</v>
      </c>
      <c r="L95" s="9">
        <f>IFERROR('cash flow data'!N22,0)</f>
        <v>0</v>
      </c>
    </row>
    <row r="96" spans="2:12" outlineLevel="1" x14ac:dyDescent="0.2">
      <c r="B96" t="s">
        <v>116</v>
      </c>
      <c r="C96" s="9">
        <f>IFERROR('cash flow data'!E23,0)</f>
        <v>5</v>
      </c>
      <c r="D96" s="9">
        <f>IFERROR('cash flow data'!F23,0)</f>
        <v>-35</v>
      </c>
      <c r="E96" s="9">
        <f>IFERROR('cash flow data'!G23,0)</f>
        <v>-115</v>
      </c>
      <c r="F96" s="9">
        <f>IFERROR('cash flow data'!H23,0)</f>
        <v>200</v>
      </c>
      <c r="G96" s="9">
        <f>IFERROR('cash flow data'!I23,0)</f>
        <v>-50</v>
      </c>
      <c r="H96" s="9">
        <f>IFERROR('cash flow data'!J23,0)</f>
        <v>-344</v>
      </c>
      <c r="I96" s="9">
        <f>IFERROR('cash flow data'!K23,0)</f>
        <v>294</v>
      </c>
      <c r="J96" s="9">
        <f>IFERROR('cash flow data'!L23,0)</f>
        <v>-143</v>
      </c>
      <c r="K96" s="9">
        <f>IFERROR('cash flow data'!M23,0)</f>
        <v>243</v>
      </c>
      <c r="L96" s="9">
        <f>IFERROR('cash flow data'!N23,0)</f>
        <v>0</v>
      </c>
    </row>
    <row r="97" spans="2:12" outlineLevel="1" x14ac:dyDescent="0.2">
      <c r="B97" t="s">
        <v>117</v>
      </c>
      <c r="C97" s="9">
        <f>IFERROR('cash flow data'!E24,0)</f>
        <v>-38</v>
      </c>
      <c r="D97" s="9">
        <f>IFERROR('cash flow data'!F24,0)</f>
        <v>-43</v>
      </c>
      <c r="E97" s="9">
        <f>IFERROR('cash flow data'!G24,0)</f>
        <v>-485</v>
      </c>
      <c r="F97" s="9">
        <f>IFERROR('cash flow data'!H24,0)</f>
        <v>359</v>
      </c>
      <c r="G97" s="9">
        <f>IFERROR('cash flow data'!I24,0)</f>
        <v>-46</v>
      </c>
      <c r="H97" s="9">
        <f>IFERROR('cash flow data'!J24,0)</f>
        <v>-948</v>
      </c>
      <c r="I97" s="9">
        <f>IFERROR('cash flow data'!K24,0)</f>
        <v>273</v>
      </c>
      <c r="J97" s="9">
        <f>IFERROR('cash flow data'!L24,0)</f>
        <v>56</v>
      </c>
      <c r="K97" s="9">
        <f>IFERROR('cash flow data'!M24,0)</f>
        <v>80</v>
      </c>
      <c r="L97" s="9">
        <f>IFERROR('cash flow data'!N24,0)</f>
        <v>-1077</v>
      </c>
    </row>
    <row r="98" spans="2:12" outlineLevel="1" x14ac:dyDescent="0.2">
      <c r="B98" s="26" t="s">
        <v>132</v>
      </c>
      <c r="C98" s="30">
        <f>IFERROR(SUM(C86:C97),0)</f>
        <v>-953</v>
      </c>
      <c r="D98" s="30">
        <f t="shared" ref="D98:L98" si="26">IFERROR(SUM(D86:D97),0)</f>
        <v>99</v>
      </c>
      <c r="E98" s="30">
        <f t="shared" si="26"/>
        <v>-797</v>
      </c>
      <c r="F98" s="30">
        <f t="shared" si="26"/>
        <v>235</v>
      </c>
      <c r="G98" s="30">
        <f t="shared" si="26"/>
        <v>-2799</v>
      </c>
      <c r="H98" s="30">
        <f t="shared" si="26"/>
        <v>1165</v>
      </c>
      <c r="I98" s="30">
        <f t="shared" si="26"/>
        <v>-1814</v>
      </c>
      <c r="J98" s="30">
        <f t="shared" si="26"/>
        <v>-189</v>
      </c>
      <c r="K98" s="30">
        <f t="shared" si="26"/>
        <v>546</v>
      </c>
      <c r="L98" s="30">
        <f t="shared" si="26"/>
        <v>-2965</v>
      </c>
    </row>
    <row r="99" spans="2:12" outlineLevel="1" x14ac:dyDescent="0.2"/>
    <row r="100" spans="2:12" outlineLevel="1" x14ac:dyDescent="0.2">
      <c r="B100" s="23" t="s">
        <v>133</v>
      </c>
    </row>
    <row r="101" spans="2:12" outlineLevel="1" x14ac:dyDescent="0.2">
      <c r="B101" t="s">
        <v>118</v>
      </c>
      <c r="C101" s="9">
        <f>IFERROR('cash flow data'!E26,0)</f>
        <v>0</v>
      </c>
      <c r="D101" s="9">
        <f>IFERROR('cash flow data'!F26,0)</f>
        <v>0</v>
      </c>
      <c r="E101" s="9">
        <f>IFERROR('cash flow data'!G26,0)</f>
        <v>0</v>
      </c>
      <c r="F101" s="9">
        <f>IFERROR('cash flow data'!H26,0)</f>
        <v>0</v>
      </c>
      <c r="G101" s="9">
        <f>IFERROR('cash flow data'!I26,0)</f>
        <v>0</v>
      </c>
      <c r="H101" s="9">
        <f>IFERROR('cash flow data'!J26,0)</f>
        <v>0</v>
      </c>
      <c r="I101" s="9">
        <f>IFERROR('cash flow data'!K26,0)</f>
        <v>0</v>
      </c>
      <c r="J101" s="9">
        <f>IFERROR('cash flow data'!L26,0)</f>
        <v>0</v>
      </c>
      <c r="K101" s="9">
        <f>IFERROR('cash flow data'!M26,0)</f>
        <v>0</v>
      </c>
      <c r="L101" s="9">
        <f>IFERROR('cash flow data'!N26,0)</f>
        <v>0</v>
      </c>
    </row>
    <row r="102" spans="2:12" outlineLevel="1" x14ac:dyDescent="0.2">
      <c r="B102" t="s">
        <v>119</v>
      </c>
      <c r="C102" s="9">
        <f>IFERROR('cash flow data'!E27,0)</f>
        <v>0</v>
      </c>
      <c r="D102" s="9">
        <f>IFERROR('cash flow data'!F27,0)</f>
        <v>0</v>
      </c>
      <c r="E102" s="9">
        <f>IFERROR('cash flow data'!G27,0)</f>
        <v>0</v>
      </c>
      <c r="F102" s="9">
        <f>IFERROR('cash flow data'!H27,0)</f>
        <v>0</v>
      </c>
      <c r="G102" s="9">
        <f>IFERROR('cash flow data'!I27,0)</f>
        <v>0</v>
      </c>
      <c r="H102" s="9">
        <f>IFERROR('cash flow data'!J27,0)</f>
        <v>0</v>
      </c>
      <c r="I102" s="9">
        <f>IFERROR('cash flow data'!K27,0)</f>
        <v>0</v>
      </c>
      <c r="J102" s="9">
        <f>IFERROR('cash flow data'!L27,0)</f>
        <v>0</v>
      </c>
      <c r="K102" s="9">
        <f>IFERROR('cash flow data'!M27,0)</f>
        <v>0</v>
      </c>
      <c r="L102" s="9">
        <f>IFERROR('cash flow data'!N27,0)</f>
        <v>0</v>
      </c>
    </row>
    <row r="103" spans="2:12" outlineLevel="1" x14ac:dyDescent="0.2">
      <c r="B103" t="s">
        <v>120</v>
      </c>
      <c r="C103" s="9">
        <f>IFERROR('cash flow data'!E28,0)</f>
        <v>0</v>
      </c>
      <c r="D103" s="9">
        <f>IFERROR('cash flow data'!F28,0)</f>
        <v>0</v>
      </c>
      <c r="E103" s="9">
        <f>IFERROR('cash flow data'!G28,0)</f>
        <v>0</v>
      </c>
      <c r="F103" s="9">
        <f>IFERROR('cash flow data'!H28,0)</f>
        <v>693</v>
      </c>
      <c r="G103" s="9">
        <f>IFERROR('cash flow data'!I28,0)</f>
        <v>0</v>
      </c>
      <c r="H103" s="9">
        <f>IFERROR('cash flow data'!J28,0)</f>
        <v>349</v>
      </c>
      <c r="I103" s="9">
        <f>IFERROR('cash flow data'!K28,0)</f>
        <v>1684</v>
      </c>
      <c r="J103" s="9">
        <f>IFERROR('cash flow data'!L28,0)</f>
        <v>5629</v>
      </c>
      <c r="K103" s="9">
        <f>IFERROR('cash flow data'!M28,0)</f>
        <v>2599</v>
      </c>
      <c r="L103" s="9">
        <f>IFERROR('cash flow data'!N28,0)</f>
        <v>3314</v>
      </c>
    </row>
    <row r="104" spans="2:12" outlineLevel="1" x14ac:dyDescent="0.2">
      <c r="B104" t="s">
        <v>121</v>
      </c>
      <c r="C104" s="9">
        <f>IFERROR('cash flow data'!E29,0)</f>
        <v>0</v>
      </c>
      <c r="D104" s="9">
        <f>IFERROR('cash flow data'!F29,0)</f>
        <v>0</v>
      </c>
      <c r="E104" s="9">
        <f>IFERROR('cash flow data'!G29,0)</f>
        <v>-39</v>
      </c>
      <c r="F104" s="9">
        <f>IFERROR('cash flow data'!H29,0)</f>
        <v>0</v>
      </c>
      <c r="G104" s="9">
        <f>IFERROR('cash flow data'!I29,0)</f>
        <v>-562</v>
      </c>
      <c r="H104" s="9">
        <f>IFERROR('cash flow data'!J29,0)</f>
        <v>-7</v>
      </c>
      <c r="I104" s="9">
        <f>IFERROR('cash flow data'!K29,0)</f>
        <v>-7</v>
      </c>
      <c r="J104" s="9">
        <f>IFERROR('cash flow data'!L29,0)</f>
        <v>0</v>
      </c>
      <c r="K104" s="9">
        <f>IFERROR('cash flow data'!M29,0)</f>
        <v>-378</v>
      </c>
      <c r="L104" s="9">
        <f>IFERROR('cash flow data'!N29,0)</f>
        <v>-2632</v>
      </c>
    </row>
    <row r="105" spans="2:12" outlineLevel="1" x14ac:dyDescent="0.2">
      <c r="B105" t="s">
        <v>122</v>
      </c>
      <c r="C105" s="9">
        <f>IFERROR('cash flow data'!E30,0)</f>
        <v>0</v>
      </c>
      <c r="D105" s="9">
        <f>IFERROR('cash flow data'!F30,0)</f>
        <v>0</v>
      </c>
      <c r="E105" s="9">
        <f>IFERROR('cash flow data'!G30,0)</f>
        <v>0</v>
      </c>
      <c r="F105" s="9">
        <f>IFERROR('cash flow data'!H30,0)</f>
        <v>0</v>
      </c>
      <c r="G105" s="9">
        <f>IFERROR('cash flow data'!I30,0)</f>
        <v>0</v>
      </c>
      <c r="H105" s="9">
        <f>IFERROR('cash flow data'!J30,0)</f>
        <v>0</v>
      </c>
      <c r="I105" s="9">
        <f>IFERROR('cash flow data'!K30,0)</f>
        <v>0</v>
      </c>
      <c r="J105" s="9">
        <f>IFERROR('cash flow data'!L30,0)</f>
        <v>0</v>
      </c>
      <c r="K105" s="9">
        <f>IFERROR('cash flow data'!M30,0)</f>
        <v>0</v>
      </c>
      <c r="L105" s="9">
        <f>IFERROR('cash flow data'!N30,0)</f>
        <v>0</v>
      </c>
    </row>
    <row r="106" spans="2:12" outlineLevel="1" x14ac:dyDescent="0.2">
      <c r="B106" t="s">
        <v>123</v>
      </c>
      <c r="C106" s="9">
        <f>IFERROR('cash flow data'!E31,0)</f>
        <v>-38</v>
      </c>
      <c r="D106" s="9">
        <f>IFERROR('cash flow data'!F31,0)</f>
        <v>-54</v>
      </c>
      <c r="E106" s="9">
        <f>IFERROR('cash flow data'!G31,0)</f>
        <v>-53</v>
      </c>
      <c r="F106" s="9">
        <f>IFERROR('cash flow data'!H31,0)</f>
        <v>-399</v>
      </c>
      <c r="G106" s="9">
        <f>IFERROR('cash flow data'!I31,0)</f>
        <v>-317</v>
      </c>
      <c r="H106" s="9">
        <f>IFERROR('cash flow data'!J31,0)</f>
        <v>-218</v>
      </c>
      <c r="I106" s="9">
        <f>IFERROR('cash flow data'!K31,0)</f>
        <v>-300</v>
      </c>
      <c r="J106" s="9">
        <f>IFERROR('cash flow data'!L31,0)</f>
        <v>-619</v>
      </c>
      <c r="K106" s="9">
        <f>IFERROR('cash flow data'!M31,0)</f>
        <v>-538</v>
      </c>
      <c r="L106" s="9">
        <f>IFERROR('cash flow data'!N31,0)</f>
        <v>-1000</v>
      </c>
    </row>
    <row r="107" spans="2:12" outlineLevel="1" x14ac:dyDescent="0.2">
      <c r="B107" t="s">
        <v>124</v>
      </c>
      <c r="C107" s="9">
        <f>IFERROR('cash flow data'!E32,0)</f>
        <v>-4</v>
      </c>
      <c r="D107" s="9">
        <f>IFERROR('cash flow data'!F32,0)</f>
        <v>-277</v>
      </c>
      <c r="E107" s="9">
        <f>IFERROR('cash flow data'!G32,0)</f>
        <v>-397</v>
      </c>
      <c r="F107" s="9">
        <f>IFERROR('cash flow data'!H32,0)</f>
        <v>-536</v>
      </c>
      <c r="G107" s="9">
        <f>IFERROR('cash flow data'!I32,0)</f>
        <v>-355</v>
      </c>
      <c r="H107" s="9">
        <f>IFERROR('cash flow data'!J32,0)</f>
        <v>-355</v>
      </c>
      <c r="I107" s="9">
        <f>IFERROR('cash flow data'!K32,0)</f>
        <v>-666</v>
      </c>
      <c r="J107" s="9">
        <f>IFERROR('cash flow data'!L32,0)</f>
        <v>-888</v>
      </c>
      <c r="K107" s="9">
        <f>IFERROR('cash flow data'!M32,0)</f>
        <v>-976</v>
      </c>
      <c r="L107" s="9">
        <f>IFERROR('cash flow data'!N32,0)</f>
        <v>-976</v>
      </c>
    </row>
    <row r="108" spans="2:12" outlineLevel="1" x14ac:dyDescent="0.2">
      <c r="B108" t="s">
        <v>125</v>
      </c>
      <c r="C108" s="9">
        <f>IFERROR('cash flow data'!E33,0)</f>
        <v>0</v>
      </c>
      <c r="D108" s="9">
        <f>IFERROR('cash flow data'!F33,0)</f>
        <v>0</v>
      </c>
      <c r="E108" s="9">
        <f>IFERROR('cash flow data'!G33,0)</f>
        <v>0</v>
      </c>
      <c r="F108" s="9">
        <f>IFERROR('cash flow data'!H33,0)</f>
        <v>0</v>
      </c>
      <c r="G108" s="9">
        <f>IFERROR('cash flow data'!I33,0)</f>
        <v>0</v>
      </c>
      <c r="H108" s="9">
        <f>IFERROR('cash flow data'!J33,0)</f>
        <v>-172</v>
      </c>
      <c r="I108" s="9">
        <f>IFERROR('cash flow data'!K33,0)</f>
        <v>-254</v>
      </c>
      <c r="J108" s="9">
        <f>IFERROR('cash flow data'!L33,0)</f>
        <v>-318</v>
      </c>
      <c r="K108" s="9">
        <f>IFERROR('cash flow data'!M33,0)</f>
        <v>-700</v>
      </c>
      <c r="L108" s="9">
        <f>IFERROR('cash flow data'!N33,0)</f>
        <v>-865</v>
      </c>
    </row>
    <row r="109" spans="2:12" outlineLevel="1" x14ac:dyDescent="0.2">
      <c r="B109" t="s">
        <v>126</v>
      </c>
      <c r="C109" s="9">
        <f>IFERROR('cash flow data'!E34,0)</f>
        <v>-124</v>
      </c>
      <c r="D109" s="9">
        <f>IFERROR('cash flow data'!F34,0)</f>
        <v>79</v>
      </c>
      <c r="E109" s="9">
        <f>IFERROR('cash flow data'!G34,0)</f>
        <v>0</v>
      </c>
      <c r="F109" s="9">
        <f>IFERROR('cash flow data'!H34,0)</f>
        <v>0</v>
      </c>
      <c r="G109" s="9">
        <f>IFERROR('cash flow data'!I34,0)</f>
        <v>0</v>
      </c>
      <c r="H109" s="9">
        <f>IFERROR('cash flow data'!J34,0)</f>
        <v>0</v>
      </c>
      <c r="I109" s="9">
        <f>IFERROR('cash flow data'!K34,0)</f>
        <v>0</v>
      </c>
      <c r="J109" s="9">
        <f>IFERROR('cash flow data'!L34,0)</f>
        <v>-5133</v>
      </c>
      <c r="K109" s="9">
        <f>IFERROR('cash flow data'!M34,0)</f>
        <v>-14</v>
      </c>
      <c r="L109" s="9">
        <f>IFERROR('cash flow data'!N34,0)</f>
        <v>0</v>
      </c>
    </row>
    <row r="110" spans="2:12" outlineLevel="1" x14ac:dyDescent="0.2">
      <c r="B110" s="26" t="s">
        <v>134</v>
      </c>
      <c r="C110" s="30">
        <f>SUM(C101:C109)</f>
        <v>-166</v>
      </c>
      <c r="D110" s="30">
        <f t="shared" ref="D110:L110" si="27">SUM(D101:D109)</f>
        <v>-252</v>
      </c>
      <c r="E110" s="30">
        <f t="shared" si="27"/>
        <v>-489</v>
      </c>
      <c r="F110" s="30">
        <f t="shared" si="27"/>
        <v>-242</v>
      </c>
      <c r="G110" s="30">
        <f t="shared" si="27"/>
        <v>-1234</v>
      </c>
      <c r="H110" s="30">
        <f t="shared" si="27"/>
        <v>-403</v>
      </c>
      <c r="I110" s="30">
        <f t="shared" si="27"/>
        <v>457</v>
      </c>
      <c r="J110" s="30">
        <f t="shared" si="27"/>
        <v>-1329</v>
      </c>
      <c r="K110" s="30">
        <f t="shared" si="27"/>
        <v>-7</v>
      </c>
      <c r="L110" s="30">
        <f t="shared" si="27"/>
        <v>-2159</v>
      </c>
    </row>
    <row r="111" spans="2:12" outlineLevel="1" x14ac:dyDescent="0.2"/>
    <row r="112" spans="2:12" ht="16" outlineLevel="1" thickBot="1" x14ac:dyDescent="0.25">
      <c r="B112" s="94" t="s">
        <v>127</v>
      </c>
      <c r="C112" s="164">
        <f>IFERROR(C83+C98+C110,0)</f>
        <v>746</v>
      </c>
      <c r="D112" s="164">
        <f t="shared" ref="D112:L112" si="28">IFERROR(D83+D98+D110,0)</f>
        <v>-1170</v>
      </c>
      <c r="E112" s="164">
        <f t="shared" si="28"/>
        <v>-1088</v>
      </c>
      <c r="F112" s="164">
        <f t="shared" si="28"/>
        <v>-1859</v>
      </c>
      <c r="G112" s="164">
        <f t="shared" si="28"/>
        <v>102</v>
      </c>
      <c r="H112" s="164">
        <f t="shared" si="28"/>
        <v>-4370</v>
      </c>
      <c r="I112" s="164">
        <f t="shared" si="28"/>
        <v>-2301</v>
      </c>
      <c r="J112" s="164">
        <f t="shared" si="28"/>
        <v>-2401</v>
      </c>
      <c r="K112" s="164">
        <f t="shared" si="28"/>
        <v>-7696</v>
      </c>
      <c r="L112" s="164">
        <f t="shared" si="28"/>
        <v>-7958</v>
      </c>
    </row>
  </sheetData>
  <sheetProtection sheet="1" objects="1" scenarios="1"/>
  <mergeCells count="1">
    <mergeCell ref="B2:L2"/>
  </mergeCells>
  <pageMargins left="0.7" right="0.7" top="0.75" bottom="0.75" header="0.3" footer="0.3"/>
  <pageSetup paperSize="9" orientation="portrait" horizontalDpi="0" verticalDpi="0"/>
  <ignoredErrors>
    <ignoredError sqref="C15:L15"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3F4AC-A974-9C4A-BAD9-76B8699BC8B9}">
  <dimension ref="B2:O46"/>
  <sheetViews>
    <sheetView showGridLines="0" zoomScale="118" workbookViewId="0">
      <pane ySplit="3" topLeftCell="A4" activePane="bottomLeft" state="frozen"/>
      <selection pane="bottomLeft" activeCell="C33" sqref="C33"/>
    </sheetView>
  </sheetViews>
  <sheetFormatPr baseColWidth="10" defaultRowHeight="15" x14ac:dyDescent="0.2"/>
  <cols>
    <col min="1" max="1" width="3" customWidth="1"/>
    <col min="2" max="2" width="24.6640625" bestFit="1" customWidth="1"/>
    <col min="13" max="13" width="21.83203125" customWidth="1"/>
  </cols>
  <sheetData>
    <row r="2" spans="2:15" x14ac:dyDescent="0.2">
      <c r="B2" s="275" t="str">
        <f>"Ratio Analysis - "&amp;'Data Sheet'!B2</f>
        <v>Ratio Analysis - TITAN COMPANY LTD</v>
      </c>
      <c r="C2" s="275"/>
      <c r="D2" s="275"/>
      <c r="E2" s="275"/>
      <c r="F2" s="275"/>
      <c r="G2" s="275"/>
      <c r="H2" s="275"/>
      <c r="I2" s="275"/>
      <c r="J2" s="275"/>
      <c r="K2" s="275"/>
      <c r="L2" s="275"/>
      <c r="M2" s="275"/>
      <c r="N2" s="275"/>
      <c r="O2" s="275"/>
    </row>
    <row r="3" spans="2:15" x14ac:dyDescent="0.2">
      <c r="B3" s="7" t="s">
        <v>0</v>
      </c>
      <c r="C3" s="8">
        <f>'Data Sheet'!B17</f>
        <v>42825</v>
      </c>
      <c r="D3" s="8">
        <f>'Data Sheet'!C17</f>
        <v>43190</v>
      </c>
      <c r="E3" s="8">
        <f>'Data Sheet'!D17</f>
        <v>43555</v>
      </c>
      <c r="F3" s="8">
        <f>'Data Sheet'!E17</f>
        <v>43921</v>
      </c>
      <c r="G3" s="8">
        <f>'Data Sheet'!F17</f>
        <v>44286</v>
      </c>
      <c r="H3" s="8">
        <f>'Data Sheet'!G17</f>
        <v>44651</v>
      </c>
      <c r="I3" s="8">
        <f>'Data Sheet'!H17</f>
        <v>45016</v>
      </c>
      <c r="J3" s="8">
        <f>'Data Sheet'!I17</f>
        <v>45382</v>
      </c>
      <c r="K3" s="8">
        <f>'Data Sheet'!J17</f>
        <v>45747</v>
      </c>
      <c r="L3" s="8">
        <f>'Data Sheet'!K17</f>
        <v>46112</v>
      </c>
      <c r="M3" s="8" t="s">
        <v>163</v>
      </c>
      <c r="N3" s="8" t="s">
        <v>164</v>
      </c>
      <c r="O3" s="8" t="s">
        <v>165</v>
      </c>
    </row>
    <row r="5" spans="2:15" x14ac:dyDescent="0.2">
      <c r="B5" s="37" t="s">
        <v>135</v>
      </c>
      <c r="C5" s="38"/>
      <c r="D5" s="39">
        <f>IFERROR(HistoricalFS!D7,0)</f>
        <v>0.21559283996552248</v>
      </c>
      <c r="E5" s="39">
        <f>IFERROR(HistoricalFS!E7,0)</f>
        <v>0.22697284142391605</v>
      </c>
      <c r="F5" s="39">
        <f>IFERROR(HistoricalFS!F7,0)</f>
        <v>6.4387021880302431E-2</v>
      </c>
      <c r="G5" s="39">
        <f>IFERROR(HistoricalFS!G7,0)</f>
        <v>2.8120843625308867E-2</v>
      </c>
      <c r="H5" s="39">
        <f>IFERROR(HistoricalFS!H7,0)</f>
        <v>0.33057660321567184</v>
      </c>
      <c r="I5" s="39">
        <f>IFERROR(HistoricalFS!I7,0)</f>
        <v>0.40890308691274013</v>
      </c>
      <c r="J5" s="39">
        <f>IFERROR(HistoricalFS!J7,0)</f>
        <v>0.25900184842883545</v>
      </c>
      <c r="K5" s="39">
        <f>IFERROR(HistoricalFS!K7,0)</f>
        <v>0.18346253229974163</v>
      </c>
      <c r="L5" s="39">
        <f>IFERROR(HistoricalFS!L7,0)</f>
        <v>0.448723038242689</v>
      </c>
      <c r="M5" s="37"/>
      <c r="N5" s="39">
        <f>IFERROR(AVERAGE(D5:L5),0)</f>
        <v>0.24063785066608087</v>
      </c>
      <c r="O5" s="39">
        <f>IFERROR(MEDIAN(C5:L5),0)</f>
        <v>0.22697284142391605</v>
      </c>
    </row>
    <row r="6" spans="2:15" x14ac:dyDescent="0.2">
      <c r="B6" t="s">
        <v>136</v>
      </c>
      <c r="C6" s="20"/>
      <c r="D6" s="31">
        <f>IFERROR((HistoricalFS!D18/HistoricalFS!C18)-1,0)</f>
        <v>0.41266431824040017</v>
      </c>
      <c r="E6" s="31">
        <f>IFERROR((HistoricalFS!E18/HistoricalFS!D18)-1,0)</f>
        <v>0.21262011920690882</v>
      </c>
      <c r="F6" s="31">
        <f>IFERROR((HistoricalFS!F18/HistoricalFS!E18)-1,0)</f>
        <v>0.23533571740253434</v>
      </c>
      <c r="G6" s="31">
        <f>IFERROR((HistoricalFS!G18/HistoricalFS!F18)-1,0)</f>
        <v>-0.29963459196102316</v>
      </c>
      <c r="H6" s="31">
        <f>IFERROR((HistoricalFS!H18/HistoricalFS!G18)-1,0)</f>
        <v>0.93855072463768119</v>
      </c>
      <c r="I6" s="31">
        <f>IFERROR((HistoricalFS!I18/HistoricalFS!H18)-1,0)</f>
        <v>0.45992822966507174</v>
      </c>
      <c r="J6" s="31">
        <f>IFERROR((HistoricalFS!J18/HistoricalFS!I18)-1,0)</f>
        <v>8.3981974600573439E-2</v>
      </c>
      <c r="K6" s="31">
        <f>IFERROR((HistoricalFS!K18/HistoricalFS!J18)-1,0)</f>
        <v>7.5963718820861725E-2</v>
      </c>
      <c r="L6" s="31">
        <f>IFERROR((HistoricalFS!L18/HistoricalFS!K18)-1,0)</f>
        <v>0.46768528275377586</v>
      </c>
      <c r="N6" s="31">
        <f t="shared" ref="N6:N9" si="0">IFERROR(AVERAGE(D6:L6),0)</f>
        <v>0.28745505481853156</v>
      </c>
      <c r="O6" s="31">
        <f t="shared" ref="O6:O36" si="1">IFERROR(MEDIAN(C6:L6),0)</f>
        <v>0.23533571740253434</v>
      </c>
    </row>
    <row r="7" spans="2:15" x14ac:dyDescent="0.2">
      <c r="B7" t="s">
        <v>160</v>
      </c>
      <c r="C7" s="20"/>
      <c r="D7" s="31">
        <f>IFERROR((HistoricalFS!D33/HistoricalFS!C33)-1,0)</f>
        <v>0.57182635499614864</v>
      </c>
      <c r="E7" s="31">
        <f>IFERROR((HistoricalFS!E33/HistoricalFS!D33)-1,0)</f>
        <v>0.27919700872020781</v>
      </c>
      <c r="F7" s="31">
        <f>IFERROR((HistoricalFS!F33/HistoricalFS!E33)-1,0)</f>
        <v>7.415337602011296E-2</v>
      </c>
      <c r="G7" s="31">
        <f>IFERROR((HistoricalFS!G33/HistoricalFS!F33)-1,0)</f>
        <v>-0.3686964795432921</v>
      </c>
      <c r="H7" s="31">
        <f>IFERROR((HistoricalFS!H33/HistoricalFS!G33)-1,0)</f>
        <v>1.1883948756593821</v>
      </c>
      <c r="I7" s="31">
        <f>IFERROR((HistoricalFS!I33/HistoricalFS!H33)-1,0)</f>
        <v>0.53133608815426991</v>
      </c>
      <c r="J7" s="31">
        <f>IFERROR((HistoricalFS!J33/HistoricalFS!I33)-1,0)</f>
        <v>3.9577243085225922E-2</v>
      </c>
      <c r="K7" s="31">
        <f>IFERROR((HistoricalFS!K33/HistoricalFS!J33)-1,0)</f>
        <v>-1.9035258490157858E-2</v>
      </c>
      <c r="L7" s="31">
        <f>IFERROR((HistoricalFS!L33/HistoricalFS!K33)-1,0)</f>
        <v>0.49966923925027573</v>
      </c>
      <c r="N7" s="31">
        <f t="shared" si="0"/>
        <v>0.31071360531690811</v>
      </c>
      <c r="O7" s="31">
        <f t="shared" si="1"/>
        <v>0.27919700872020781</v>
      </c>
    </row>
    <row r="8" spans="2:15" x14ac:dyDescent="0.2">
      <c r="B8" t="s">
        <v>137</v>
      </c>
      <c r="C8" s="20"/>
      <c r="D8" s="31">
        <f>IFERROR((HistoricalFS!D39/HistoricalFS!C39)-1,0)</f>
        <v>0.58029772831574378</v>
      </c>
      <c r="E8" s="31">
        <f>IFERROR((HistoricalFS!E39/HistoricalFS!D39)-1,0)</f>
        <v>0.26022088918332664</v>
      </c>
      <c r="F8" s="31">
        <f>IFERROR((HistoricalFS!F39/HistoricalFS!E39)-1,0)</f>
        <v>7.5144924927086576E-2</v>
      </c>
      <c r="G8" s="31">
        <f>IFERROR((HistoricalFS!G39/HistoricalFS!F39)-1,0)</f>
        <v>-0.34762223710649698</v>
      </c>
      <c r="H8" s="31">
        <f>IFERROR((HistoricalFS!H39/HistoricalFS!G39)-1,0)</f>
        <v>1.2566735112936347</v>
      </c>
      <c r="I8" s="31">
        <f>IFERROR((HistoricalFS!I39/HistoricalFS!H39)-1,0)</f>
        <v>0.48953594176524118</v>
      </c>
      <c r="J8" s="31">
        <f>IFERROR((HistoricalFS!J39/HistoricalFS!I39)-1,0)</f>
        <v>6.7806963958460642E-2</v>
      </c>
      <c r="K8" s="31">
        <f>IFERROR((HistoricalFS!K39/HistoricalFS!J39)-1,0)</f>
        <v>-4.5480549199084619E-2</v>
      </c>
      <c r="L8" s="31">
        <f>IFERROR((HistoricalFS!L39/HistoricalFS!K39)-1,0)</f>
        <v>0.52022774947557693</v>
      </c>
      <c r="N8" s="31">
        <f t="shared" si="0"/>
        <v>0.31742276917927659</v>
      </c>
      <c r="O8" s="31">
        <f t="shared" si="1"/>
        <v>0.26022088918332664</v>
      </c>
    </row>
    <row r="9" spans="2:15" x14ac:dyDescent="0.2">
      <c r="B9" t="s">
        <v>161</v>
      </c>
      <c r="C9" s="20"/>
      <c r="D9" s="31">
        <f>IFERROR((HistoricalFS!D48/HistoricalFS!C48)-1,0)</f>
        <v>0.44227353463587948</v>
      </c>
      <c r="E9" s="31">
        <f>IFERROR((HistoricalFS!E48/HistoricalFS!D48)-1,0)</f>
        <v>0.33335335816412348</v>
      </c>
      <c r="F9" s="31">
        <f>IFERROR((HistoricalFS!F48/HistoricalFS!E48)-1,0)</f>
        <v>-0.19801757152511834</v>
      </c>
      <c r="G9" s="31">
        <f>IFERROR((HistoricalFS!G48/HistoricalFS!F48)-1,0)</f>
        <v>0</v>
      </c>
      <c r="H9" s="31">
        <f>IFERROR((HistoricalFS!H48/HistoricalFS!G48)-1,0)</f>
        <v>0.87500000000000022</v>
      </c>
      <c r="I9" s="31">
        <f>IFERROR((HistoricalFS!I48/HistoricalFS!H48)-1,0)</f>
        <v>0.33333333333333348</v>
      </c>
      <c r="J9" s="31">
        <f>IFERROR((HistoricalFS!J48/HistoricalFS!I48)-1,0)</f>
        <v>0.10000000000000009</v>
      </c>
      <c r="K9" s="31">
        <f>IFERROR((HistoricalFS!K48/HistoricalFS!J48)-1,0)</f>
        <v>0</v>
      </c>
      <c r="L9" s="31">
        <f>IFERROR((HistoricalFS!L48/HistoricalFS!K48)-1,0)</f>
        <v>0.36363636363636354</v>
      </c>
      <c r="N9" s="31">
        <f t="shared" si="0"/>
        <v>0.24995322424939795</v>
      </c>
      <c r="O9" s="31">
        <f t="shared" si="1"/>
        <v>0.33333333333333348</v>
      </c>
    </row>
    <row r="10" spans="2:15" x14ac:dyDescent="0.2">
      <c r="B10" s="24"/>
      <c r="C10" s="24"/>
      <c r="D10" s="24"/>
      <c r="E10" s="24"/>
      <c r="F10" s="24"/>
      <c r="G10" s="24"/>
      <c r="H10" s="24"/>
      <c r="I10" s="24"/>
      <c r="J10" s="24"/>
      <c r="K10" s="24"/>
      <c r="L10" s="24"/>
      <c r="M10" s="24"/>
      <c r="N10" s="24"/>
      <c r="O10" s="24"/>
    </row>
    <row r="11" spans="2:15" x14ac:dyDescent="0.2">
      <c r="B11" t="s">
        <v>79</v>
      </c>
      <c r="C11" s="31">
        <f>IFERROR(HistoricalFS!C13,0)</f>
        <v>0.20020013830205197</v>
      </c>
      <c r="D11" s="31">
        <f>IFERROR(HistoricalFS!D13,0)</f>
        <v>0.20826227669501496</v>
      </c>
      <c r="E11" s="31">
        <f>IFERROR(HistoricalFS!E13,0)</f>
        <v>0.20820769198099762</v>
      </c>
      <c r="F11" s="31">
        <f>IFERROR(HistoricalFS!F13,0)</f>
        <v>0.21024130723921719</v>
      </c>
      <c r="G11" s="31">
        <f>IFERROR(HistoricalFS!G13,0)</f>
        <v>0.18402328589909445</v>
      </c>
      <c r="H11" s="31">
        <f>IFERROR(HistoricalFS!H13,0)</f>
        <v>0.19354838709677419</v>
      </c>
      <c r="I11" s="31">
        <f>IFERROR(HistoricalFS!I13,0)</f>
        <v>0.20406654343807765</v>
      </c>
      <c r="J11" s="31">
        <f>IFERROR(HistoricalFS!J13,0)</f>
        <v>0.18440216114634719</v>
      </c>
      <c r="K11" s="31">
        <f>IFERROR(HistoricalFS!K13,0)</f>
        <v>0.17255524679105466</v>
      </c>
      <c r="L11" s="31">
        <f>IFERROR(HistoricalFS!L13,0)</f>
        <v>0.16125091340884179</v>
      </c>
      <c r="N11" s="31">
        <f>IFERROR(AVERAGE(C11:L11),0)</f>
        <v>0.19267579519974717</v>
      </c>
      <c r="O11" s="31">
        <f t="shared" si="1"/>
        <v>0.19687426269941308</v>
      </c>
    </row>
    <row r="12" spans="2:15" x14ac:dyDescent="0.2">
      <c r="B12" t="s">
        <v>138</v>
      </c>
      <c r="C12" s="31">
        <f>IFERROR(HistoricalFS!C19,0)</f>
        <v>8.7769770067182798E-2</v>
      </c>
      <c r="D12" s="31">
        <f>IFERROR(HistoricalFS!D19,0)</f>
        <v>0.10199897393076955</v>
      </c>
      <c r="E12" s="31">
        <f>IFERROR(HistoricalFS!E19,0)</f>
        <v>0.10080582369156038</v>
      </c>
      <c r="F12" s="31">
        <f>IFERROR(HistoricalFS!F19,0)</f>
        <v>0.1169960098802964</v>
      </c>
      <c r="G12" s="31">
        <f>IFERROR(HistoricalFS!G19,0)</f>
        <v>7.9698761781556091E-2</v>
      </c>
      <c r="H12" s="31">
        <f>IFERROR(HistoricalFS!H19,0)</f>
        <v>0.11611514288690579</v>
      </c>
      <c r="I12" s="31">
        <f>IFERROR(HistoricalFS!I19,0)</f>
        <v>0.12032039433148491</v>
      </c>
      <c r="J12" s="31">
        <f>IFERROR(HistoricalFS!J19,0)</f>
        <v>0.10359408033826638</v>
      </c>
      <c r="K12" s="31">
        <f>IFERROR(HistoricalFS!K19,0)</f>
        <v>9.4184200079396582E-2</v>
      </c>
      <c r="L12" s="31">
        <f>IFERROR(HistoricalFS!L19,0)</f>
        <v>9.5416971136280601E-2</v>
      </c>
      <c r="N12" s="31">
        <f t="shared" ref="N12:N36" si="2">IFERROR(AVERAGE(C12:L12),0)</f>
        <v>0.10169001281236993</v>
      </c>
      <c r="O12" s="31">
        <f t="shared" si="1"/>
        <v>0.10140239881116497</v>
      </c>
    </row>
    <row r="13" spans="2:15" x14ac:dyDescent="0.2">
      <c r="B13" t="s">
        <v>139</v>
      </c>
      <c r="C13" s="31">
        <f>IFERROR(((HistoricalFS!C18-HistoricalFS!C24)/HistoricalFS!C6),0)</f>
        <v>7.943469601827334E-2</v>
      </c>
      <c r="D13" s="31">
        <f>IFERROR(((HistoricalFS!D18-HistoricalFS!D24)/HistoricalFS!D6),0)</f>
        <v>9.3845631792513234E-2</v>
      </c>
      <c r="E13" s="31">
        <f>IFERROR(((HistoricalFS!E18-HistoricalFS!E24)/HistoricalFS!E6),0)</f>
        <v>9.2572649520793304E-2</v>
      </c>
      <c r="F13" s="31">
        <f>IFERROR(((HistoricalFS!F18-HistoricalFS!F24)/HistoricalFS!F6),0)</f>
        <v>0.10046551396541896</v>
      </c>
      <c r="G13" s="31">
        <f>IFERROR(((HistoricalFS!G18-HistoricalFS!G24)/HistoricalFS!G6),0)</f>
        <v>6.237294400295694E-2</v>
      </c>
      <c r="H13" s="31">
        <f>IFERROR(((HistoricalFS!H18-HistoricalFS!H24)/HistoricalFS!H6),0)</f>
        <v>0.10226049515608181</v>
      </c>
      <c r="I13" s="31">
        <f>IFERROR(((HistoricalFS!I18-HistoricalFS!I24)/HistoricalFS!I6),0)</f>
        <v>0.10945163277880468</v>
      </c>
      <c r="J13" s="31">
        <f>IFERROR(((HistoricalFS!J18-HistoricalFS!J24)/HistoricalFS!J6),0)</f>
        <v>9.2161929371231702E-2</v>
      </c>
      <c r="K13" s="31">
        <f>IFERROR(((HistoricalFS!K18-HistoricalFS!K24)/HistoricalFS!K6),0)</f>
        <v>8.2721317983326714E-2</v>
      </c>
      <c r="L13" s="31">
        <f>IFERROR(((HistoricalFS!L18-HistoricalFS!L24)/HistoricalFS!L6),0)</f>
        <v>8.5986024844720496E-2</v>
      </c>
      <c r="N13" s="31">
        <f t="shared" si="2"/>
        <v>9.0127283543412123E-2</v>
      </c>
      <c r="O13" s="31">
        <f t="shared" si="1"/>
        <v>9.2367289446012496E-2</v>
      </c>
    </row>
    <row r="14" spans="2:15" x14ac:dyDescent="0.2">
      <c r="B14" t="s">
        <v>81</v>
      </c>
      <c r="C14" s="31">
        <f>IFERROR(HistoricalFS!C34,0)</f>
        <v>7.3392841926184088E-2</v>
      </c>
      <c r="D14" s="31">
        <f>IFERROR(HistoricalFS!D34,0)</f>
        <v>9.4900857766581109E-2</v>
      </c>
      <c r="E14" s="31">
        <f>IFERROR(HistoricalFS!E34,0)</f>
        <v>9.8940163369150014E-2</v>
      </c>
      <c r="F14" s="31">
        <f>IFERROR(HistoricalFS!F34,0)</f>
        <v>9.9847995439863196E-2</v>
      </c>
      <c r="G14" s="31">
        <f>IFERROR(HistoricalFS!G34,0)</f>
        <v>6.1310293845869522E-2</v>
      </c>
      <c r="H14" s="31">
        <f>IFERROR(HistoricalFS!H34,0)</f>
        <v>0.10083683461231292</v>
      </c>
      <c r="I14" s="31">
        <f>IFERROR(HistoricalFS!I34,0)</f>
        <v>0.10959950708564387</v>
      </c>
      <c r="J14" s="31">
        <f>IFERROR(HistoricalFS!J34,0)</f>
        <v>9.0498003288700959E-2</v>
      </c>
      <c r="K14" s="31">
        <f>IFERROR(HistoricalFS!K34,0)</f>
        <v>7.5013232764324464E-2</v>
      </c>
      <c r="L14" s="31">
        <f>IFERROR(HistoricalFS!L34,0)</f>
        <v>7.7651169163317504E-2</v>
      </c>
      <c r="N14" s="31">
        <f t="shared" si="2"/>
        <v>8.8199089926194768E-2</v>
      </c>
      <c r="O14" s="31">
        <f t="shared" si="1"/>
        <v>9.2699430527641041E-2</v>
      </c>
    </row>
    <row r="15" spans="2:15" x14ac:dyDescent="0.2">
      <c r="B15" t="s">
        <v>84</v>
      </c>
      <c r="C15" s="31">
        <f>IFERROR(HistoricalFS!C40,0)</f>
        <v>5.2581927375586569E-2</v>
      </c>
      <c r="D15" s="31">
        <f>IFERROR(HistoricalFS!D40,0)</f>
        <v>6.8357675078490651E-2</v>
      </c>
      <c r="E15" s="31">
        <f>IFERROR(HistoricalFS!E40,0)</f>
        <v>7.0210005602037009E-2</v>
      </c>
      <c r="F15" s="31">
        <f>IFERROR(HistoricalFS!F40,0)</f>
        <v>7.0919627588827666E-2</v>
      </c>
      <c r="G15" s="31">
        <f>IFERROR(HistoricalFS!G40,0)</f>
        <v>4.5000924043614859E-2</v>
      </c>
      <c r="H15" s="31">
        <f>IFERROR(HistoricalFS!H40,0)</f>
        <v>7.632209451717073E-2</v>
      </c>
      <c r="I15" s="31">
        <f>IFERROR(HistoricalFS!I40,0)</f>
        <v>8.0690080098582875E-2</v>
      </c>
      <c r="J15" s="31">
        <f>IFERROR(HistoricalFS!J40,0)</f>
        <v>6.8436300994440535E-2</v>
      </c>
      <c r="K15" s="31">
        <f>IFERROR(HistoricalFS!K40,0)</f>
        <v>5.5197168188434564E-2</v>
      </c>
      <c r="L15" s="31">
        <f>IFERROR(HistoricalFS!L40,0)</f>
        <v>5.792153818048959E-2</v>
      </c>
      <c r="N15" s="31">
        <f t="shared" si="2"/>
        <v>6.4563734166767514E-2</v>
      </c>
      <c r="O15" s="31">
        <f t="shared" si="1"/>
        <v>6.83969880364656E-2</v>
      </c>
    </row>
    <row r="16" spans="2:15" x14ac:dyDescent="0.2">
      <c r="B16" s="24"/>
      <c r="C16" s="24"/>
      <c r="D16" s="24"/>
      <c r="E16" s="24"/>
      <c r="F16" s="24"/>
      <c r="G16" s="24"/>
      <c r="H16" s="24"/>
      <c r="I16" s="24"/>
      <c r="J16" s="24"/>
      <c r="K16" s="24"/>
      <c r="L16" s="24"/>
      <c r="M16" s="24"/>
      <c r="N16" s="24"/>
      <c r="O16" s="24"/>
    </row>
    <row r="17" spans="2:15" x14ac:dyDescent="0.2">
      <c r="B17" t="s">
        <v>140</v>
      </c>
      <c r="C17" s="31">
        <f>IFERROR(HistoricalFS!C16,0)</f>
        <v>0.11243036823486917</v>
      </c>
      <c r="D17" s="31">
        <f>IFERROR(HistoricalFS!D16,0)</f>
        <v>0.10626330276424539</v>
      </c>
      <c r="E17" s="31">
        <f>IFERROR(HistoricalFS!E16,0)</f>
        <v>0.10740186828943722</v>
      </c>
      <c r="F17" s="31">
        <f>IFERROR(HistoricalFS!F16,0)</f>
        <v>9.3245297358920773E-2</v>
      </c>
      <c r="G17" s="31">
        <f>IFERROR(HistoricalFS!G16,0)</f>
        <v>0.10432452411753834</v>
      </c>
      <c r="H17" s="31">
        <f>IFERROR(HistoricalFS!H16,0)</f>
        <v>7.7433244209868399E-2</v>
      </c>
      <c r="I17" s="31">
        <f>IFERROR(HistoricalFS!I16,0)</f>
        <v>8.3746149106592727E-2</v>
      </c>
      <c r="J17" s="31">
        <f>IFERROR(HistoricalFS!J16,0)</f>
        <v>8.0808080808080815E-2</v>
      </c>
      <c r="K17" s="31">
        <f>IFERROR(HistoricalFS!K16,0)</f>
        <v>7.8371046711658066E-2</v>
      </c>
      <c r="L17" s="31">
        <f>IFERROR(HistoricalFS!L16,0)</f>
        <v>6.5833942272561202E-2</v>
      </c>
      <c r="N17" s="31">
        <f t="shared" si="2"/>
        <v>9.0985782387377215E-2</v>
      </c>
      <c r="O17" s="31">
        <f t="shared" si="1"/>
        <v>8.8495723232756757E-2</v>
      </c>
    </row>
    <row r="18" spans="2:15" x14ac:dyDescent="0.2">
      <c r="B18" t="s">
        <v>141</v>
      </c>
      <c r="C18" s="31">
        <f>IFERROR(HistoricalFS!C25,0)</f>
        <v>8.3350740489094577E-3</v>
      </c>
      <c r="D18" s="31">
        <f>IFERROR(HistoricalFS!D25,0)</f>
        <v>8.1533421382563153E-3</v>
      </c>
      <c r="E18" s="31">
        <f>IFERROR(HistoricalFS!E25,0)</f>
        <v>8.2331741707670752E-3</v>
      </c>
      <c r="F18" s="31">
        <f>IFERROR(HistoricalFS!F25,0)</f>
        <v>1.6530495914877447E-2</v>
      </c>
      <c r="G18" s="31">
        <f>IFERROR(HistoricalFS!G25,0)</f>
        <v>1.7325817778599151E-2</v>
      </c>
      <c r="H18" s="31">
        <f>IFERROR(HistoricalFS!H25,0)</f>
        <v>1.3854647730823988E-2</v>
      </c>
      <c r="I18" s="31">
        <f>IFERROR(HistoricalFS!I25,0)</f>
        <v>1.0868761552680222E-2</v>
      </c>
      <c r="J18" s="31">
        <f>IFERROR(HistoricalFS!J25,0)</f>
        <v>1.1432150967034689E-2</v>
      </c>
      <c r="K18" s="31">
        <f>IFERROR(HistoricalFS!K25,0)</f>
        <v>1.146288209606987E-2</v>
      </c>
      <c r="L18" s="31">
        <f>IFERROR(HistoricalFS!L25,0)</f>
        <v>9.4309462915601015E-3</v>
      </c>
      <c r="N18" s="31">
        <f t="shared" si="2"/>
        <v>1.1562729268957832E-2</v>
      </c>
      <c r="O18" s="31">
        <f t="shared" si="1"/>
        <v>1.1150456259857455E-2</v>
      </c>
    </row>
    <row r="19" spans="2:15" x14ac:dyDescent="0.2">
      <c r="B19" t="s">
        <v>142</v>
      </c>
      <c r="C19" s="31">
        <f>C13</f>
        <v>7.943469601827334E-2</v>
      </c>
      <c r="D19" s="31">
        <f t="shared" ref="D19:L19" si="3">D13</f>
        <v>9.3845631792513234E-2</v>
      </c>
      <c r="E19" s="31">
        <f t="shared" si="3"/>
        <v>9.2572649520793304E-2</v>
      </c>
      <c r="F19" s="31">
        <f t="shared" si="3"/>
        <v>0.10046551396541896</v>
      </c>
      <c r="G19" s="31">
        <f t="shared" si="3"/>
        <v>6.237294400295694E-2</v>
      </c>
      <c r="H19" s="31">
        <f t="shared" si="3"/>
        <v>0.10226049515608181</v>
      </c>
      <c r="I19" s="31">
        <f t="shared" si="3"/>
        <v>0.10945163277880468</v>
      </c>
      <c r="J19" s="31">
        <f t="shared" si="3"/>
        <v>9.2161929371231702E-2</v>
      </c>
      <c r="K19" s="31">
        <f t="shared" si="3"/>
        <v>8.2721317983326714E-2</v>
      </c>
      <c r="L19" s="31">
        <f t="shared" si="3"/>
        <v>8.5986024844720496E-2</v>
      </c>
      <c r="N19" s="31">
        <f t="shared" si="2"/>
        <v>9.0127283543412123E-2</v>
      </c>
      <c r="O19" s="31">
        <f t="shared" si="1"/>
        <v>9.2367289446012496E-2</v>
      </c>
    </row>
    <row r="20" spans="2:15" x14ac:dyDescent="0.2">
      <c r="B20" s="24"/>
      <c r="C20" s="24"/>
      <c r="D20" s="24"/>
      <c r="E20" s="24"/>
      <c r="F20" s="24"/>
      <c r="G20" s="24"/>
      <c r="H20" s="24"/>
      <c r="I20" s="24"/>
      <c r="J20" s="24"/>
      <c r="K20" s="24"/>
      <c r="L20" s="24"/>
      <c r="M20" s="24"/>
      <c r="N20" s="24"/>
      <c r="O20" s="24"/>
    </row>
    <row r="21" spans="2:15" x14ac:dyDescent="0.2">
      <c r="B21" t="s">
        <v>143</v>
      </c>
      <c r="C21" s="31">
        <f>IFERROR((HistoricalFS!C18-HistoricalFS!C24)/(SUM(HistoricalFS!C54:C56)),0)</f>
        <v>0.17226536883402749</v>
      </c>
      <c r="D21" s="31">
        <f>IFERROR((HistoricalFS!D18-HistoricalFS!D24)/(SUM(HistoricalFS!D54:D56)),0)</f>
        <v>0.22309313379217197</v>
      </c>
      <c r="E21" s="31">
        <f>IFERROR((HistoricalFS!E18-HistoricalFS!E24)/(SUM(HistoricalFS!E54:E56)),0)</f>
        <v>0.21634430760250653</v>
      </c>
      <c r="F21" s="31">
        <f>IFERROR((HistoricalFS!F18-HistoricalFS!F24)/(SUM(HistoricalFS!F54:F56)),0)</f>
        <v>0.20672466034600723</v>
      </c>
      <c r="G21" s="31">
        <f>IFERROR((HistoricalFS!G18-HistoricalFS!G24)/(SUM(HistoricalFS!G54:G56)),0)</f>
        <v>0.10277883517320137</v>
      </c>
      <c r="H21" s="31">
        <f>IFERROR((HistoricalFS!H18-HistoricalFS!H24)/(SUM(HistoricalFS!H54:H56)),0)</f>
        <v>0.1776450717818796</v>
      </c>
      <c r="I21" s="31">
        <f>IFERROR((HistoricalFS!I18-HistoricalFS!I24)/(SUM(HistoricalFS!I54:I56)),0)</f>
        <v>0.20930342162315016</v>
      </c>
      <c r="J21" s="31">
        <f>IFERROR((HistoricalFS!J18-HistoricalFS!J24)/(SUM(HistoricalFS!J54:J56)),0)</f>
        <v>0.18891697764937201</v>
      </c>
      <c r="K21" s="31">
        <f>IFERROR((HistoricalFS!K18-HistoricalFS!K24)/(SUM(HistoricalFS!K54:K56)),0)</f>
        <v>0.15434708805283787</v>
      </c>
      <c r="L21" s="31">
        <f>IFERROR((HistoricalFS!L18-HistoricalFS!L24)/(SUM(HistoricalFS!L54:L56)),0)</f>
        <v>0.16257231672567135</v>
      </c>
      <c r="N21" s="31">
        <f t="shared" si="2"/>
        <v>0.18139911815808257</v>
      </c>
      <c r="O21" s="31">
        <f t="shared" si="1"/>
        <v>0.1832810247156258</v>
      </c>
    </row>
    <row r="22" spans="2:15" x14ac:dyDescent="0.2">
      <c r="B22" t="s">
        <v>144</v>
      </c>
      <c r="C22" s="31">
        <f>IFERROR(HistoricalFS!C51,0)</f>
        <v>0.66895651675080292</v>
      </c>
      <c r="D22" s="31">
        <f>IFERROR(HistoricalFS!D51,0)</f>
        <v>0.69787006198328383</v>
      </c>
      <c r="E22" s="31">
        <f>IFERROR(HistoricalFS!E51,0)</f>
        <v>0.68033701796709056</v>
      </c>
      <c r="F22" s="31">
        <f>IFERROR(HistoricalFS!F51,0)</f>
        <v>0.76155391828533159</v>
      </c>
      <c r="G22" s="31">
        <f>IFERROR(HistoricalFS!G51,0)</f>
        <v>0.6344969199178645</v>
      </c>
      <c r="H22" s="31">
        <f>IFERROR(HistoricalFS!H51,0)</f>
        <v>0.69631483166515018</v>
      </c>
      <c r="I22" s="31">
        <f>IFERROR(HistoricalFS!I51,0)</f>
        <v>0.72816127061698221</v>
      </c>
      <c r="J22" s="31">
        <f>IFERROR(HistoricalFS!J51,0)</f>
        <v>0.71996567505720821</v>
      </c>
      <c r="K22" s="31">
        <f>IFERROR(HistoricalFS!K51,0)</f>
        <v>0.70662271501348517</v>
      </c>
      <c r="L22" s="31">
        <f>IFERROR(HistoricalFS!L51,0)</f>
        <v>0.73684210526315796</v>
      </c>
      <c r="N22" s="31">
        <f t="shared" si="2"/>
        <v>0.70311210325203566</v>
      </c>
      <c r="O22" s="31">
        <f t="shared" si="1"/>
        <v>0.7022463884983845</v>
      </c>
    </row>
    <row r="23" spans="2:15" x14ac:dyDescent="0.2">
      <c r="B23" t="s">
        <v>145</v>
      </c>
      <c r="C23" s="31">
        <f>IFERROR(HistoricalFS!C39/SUM(HistoricalFS!C54:C55),0)</f>
        <v>0.16474891195970107</v>
      </c>
      <c r="D23" s="31">
        <f>IFERROR(HistoricalFS!D39/SUM(HistoricalFS!D54:D55),0)</f>
        <v>0.21649036912461614</v>
      </c>
      <c r="E23" s="31">
        <f>IFERROR(HistoricalFS!E39/SUM(HistoricalFS!E54:E55),0)</f>
        <v>0.22876699916806029</v>
      </c>
      <c r="F23" s="31">
        <f>IFERROR(HistoricalFS!F39/SUM(HistoricalFS!F54:F55),0)</f>
        <v>0.2238716449242765</v>
      </c>
      <c r="G23" s="31">
        <f>IFERROR(HistoricalFS!G39/SUM(HistoricalFS!G54:G55),0)</f>
        <v>0.12991863412031479</v>
      </c>
      <c r="H23" s="31">
        <f>IFERROR(HistoricalFS!H39/SUM(HistoricalFS!H54:H55),0)</f>
        <v>0.236267870579383</v>
      </c>
      <c r="I23" s="31">
        <f>IFERROR(HistoricalFS!I39/SUM(HistoricalFS!I54:I55),0)</f>
        <v>0.27626360644671338</v>
      </c>
      <c r="J23" s="31">
        <f>IFERROR(HistoricalFS!J39/SUM(HistoricalFS!J54:J55),0)</f>
        <v>0.37219205791546894</v>
      </c>
      <c r="K23" s="31">
        <f>IFERROR(HistoricalFS!K39/SUM(HistoricalFS!K54:K55),0)</f>
        <v>0.28707845836200963</v>
      </c>
      <c r="L23" s="31">
        <f>IFERROR(HistoricalFS!L39/SUM(HistoricalFS!L54:L55),0)</f>
        <v>0.32305928803413358</v>
      </c>
      <c r="N23" s="31">
        <f t="shared" si="2"/>
        <v>0.24586578406346776</v>
      </c>
      <c r="O23" s="31">
        <f t="shared" si="1"/>
        <v>0.23251743487372165</v>
      </c>
    </row>
    <row r="24" spans="2:15" x14ac:dyDescent="0.2">
      <c r="B24" t="s">
        <v>146</v>
      </c>
      <c r="C24" s="31">
        <f>IFERROR(C22*C23,0)</f>
        <v>0.11020985828304632</v>
      </c>
      <c r="D24" s="31">
        <f t="shared" ref="D24:L24" si="4">IFERROR(D22*D23,0)</f>
        <v>0.15108214731977987</v>
      </c>
      <c r="E24" s="31">
        <f t="shared" si="4"/>
        <v>0.15563865802327803</v>
      </c>
      <c r="F24" s="31">
        <f t="shared" si="4"/>
        <v>0.17049032838506523</v>
      </c>
      <c r="G24" s="31">
        <f t="shared" si="4"/>
        <v>8.2432973189275713E-2</v>
      </c>
      <c r="H24" s="31">
        <f t="shared" si="4"/>
        <v>0.16451682253036656</v>
      </c>
      <c r="I24" s="31">
        <f t="shared" si="4"/>
        <v>0.20116445869546873</v>
      </c>
      <c r="J24" s="31">
        <f t="shared" si="4"/>
        <v>0.26796550622804211</v>
      </c>
      <c r="K24" s="31">
        <f t="shared" si="4"/>
        <v>0.20285615966964898</v>
      </c>
      <c r="L24" s="31">
        <f t="shared" si="4"/>
        <v>0.23804368591988792</v>
      </c>
      <c r="N24" s="31">
        <f t="shared" si="2"/>
        <v>0.17444005982438598</v>
      </c>
      <c r="O24" s="31">
        <f t="shared" si="1"/>
        <v>0.16750357545771588</v>
      </c>
    </row>
    <row r="25" spans="2:15" x14ac:dyDescent="0.2">
      <c r="B25" t="s">
        <v>147</v>
      </c>
      <c r="C25" s="32">
        <f>IFERROR((HistoricalFS!C18-HistoricalFS!C24)/HistoricalFS!C21,0)</f>
        <v>27.91123476417593</v>
      </c>
      <c r="D25" s="32">
        <f>IFERROR((HistoricalFS!D18-HistoricalFS!D24)/HistoricalFS!D21,0)</f>
        <v>28.585978835978857</v>
      </c>
      <c r="E25" s="32">
        <f>IFERROR((HistoricalFS!E18-HistoricalFS!E24)/HistoricalFS!E21,0)</f>
        <v>34.848686714883918</v>
      </c>
      <c r="F25" s="32">
        <f>IFERROR((HistoricalFS!F18-HistoricalFS!F24)/HistoricalFS!F21,0)</f>
        <v>12.740963855421686</v>
      </c>
      <c r="G25" s="32">
        <f>IFERROR((HistoricalFS!G18-HistoricalFS!G24)/HistoricalFS!G21,0)</f>
        <v>6.6502463054187189</v>
      </c>
      <c r="H25" s="32">
        <f>IFERROR((HistoricalFS!H18-HistoricalFS!H24)/HistoricalFS!H21,0)</f>
        <v>13.509174311926605</v>
      </c>
      <c r="I25" s="32">
        <f>IFERROR((HistoricalFS!I18-HistoricalFS!I24)/HistoricalFS!I21,0)</f>
        <v>14.803333333333333</v>
      </c>
      <c r="J25" s="32">
        <f>IFERROR((HistoricalFS!J18-HistoricalFS!J24)/HistoricalFS!J21,0)</f>
        <v>7.6058158319870763</v>
      </c>
      <c r="K25" s="32">
        <f>IFERROR((HistoricalFS!K18-HistoricalFS!K24)/HistoricalFS!K21,0)</f>
        <v>5.2476390346274924</v>
      </c>
      <c r="L25" s="32">
        <f>IFERROR((HistoricalFS!L18-HistoricalFS!L24)/HistoricalFS!L21,0)</f>
        <v>6.3822033898305088</v>
      </c>
      <c r="N25" s="32">
        <f t="shared" si="2"/>
        <v>15.828527637758416</v>
      </c>
      <c r="O25" s="32">
        <f t="shared" si="1"/>
        <v>13.125069083674145</v>
      </c>
    </row>
    <row r="26" spans="2:15" x14ac:dyDescent="0.2">
      <c r="B26" s="24"/>
      <c r="C26" s="24"/>
      <c r="D26" s="24"/>
      <c r="E26" s="24"/>
      <c r="F26" s="24"/>
      <c r="G26" s="24"/>
      <c r="H26" s="24"/>
      <c r="I26" s="24"/>
      <c r="J26" s="24"/>
      <c r="K26" s="24"/>
      <c r="L26" s="24"/>
      <c r="M26" s="24"/>
      <c r="N26" s="24"/>
      <c r="O26" s="24"/>
    </row>
    <row r="27" spans="2:15" x14ac:dyDescent="0.2">
      <c r="B27" t="s">
        <v>1281</v>
      </c>
      <c r="C27" s="32">
        <f>IFERROR('Data Sheet'!B92/HistoricalFS!C44,0)</f>
        <v>58.918863297384149</v>
      </c>
      <c r="D27" s="32">
        <f>IFERROR('Data Sheet'!C92/HistoricalFS!D44,0)</f>
        <v>75.920351026853282</v>
      </c>
      <c r="E27" s="32">
        <f>IFERROR('Data Sheet'!D92/HistoricalFS!E44,0)</f>
        <v>73.001435206855518</v>
      </c>
      <c r="F27" s="32">
        <f>IFERROR('Data Sheet'!E92/HistoricalFS!F44,0)</f>
        <v>55.52169189551239</v>
      </c>
      <c r="G27" s="32">
        <f>IFERROR('Data Sheet'!F92/HistoricalFS!G44,0)</f>
        <v>142.01609753593431</v>
      </c>
      <c r="H27" s="32">
        <f>IFERROR('Data Sheet'!G92/HistoricalFS!H44,0)</f>
        <v>102.43830618744313</v>
      </c>
      <c r="I27" s="32">
        <f>IFERROR('Data Sheet'!H92/HistoricalFS!I44,0)</f>
        <v>68.195730604764819</v>
      </c>
      <c r="J27" s="32">
        <f>IFERROR('Data Sheet'!I92/HistoricalFS!J44,0)</f>
        <v>96.545710526315801</v>
      </c>
      <c r="K27" s="32">
        <f>IFERROR('Data Sheet'!J92/HistoricalFS!K44,0)</f>
        <v>81.499614324243339</v>
      </c>
      <c r="L27" s="32">
        <f>IFERROR('Data Sheet'!K92/HistoricalFS!L44,0)</f>
        <v>69.151447269860043</v>
      </c>
      <c r="N27" s="32">
        <f t="shared" ref="N27:N30" si="5">IFERROR(AVERAGE(C27:L27),0)</f>
        <v>82.320924787516674</v>
      </c>
      <c r="O27" s="32">
        <f t="shared" ref="O27:O30" si="6">IFERROR(MEDIAN(C27:L27),0)</f>
        <v>74.460893116854407</v>
      </c>
    </row>
    <row r="28" spans="2:15" x14ac:dyDescent="0.2">
      <c r="B28" t="s">
        <v>365</v>
      </c>
      <c r="C28" s="32">
        <f>'Data Sheet'!B99/HistoricalFS!C18</f>
        <v>36.245764240914177</v>
      </c>
      <c r="D28" s="32">
        <f>'Data Sheet'!C99/HistoricalFS!D18</f>
        <v>51.532960710375825</v>
      </c>
      <c r="E28" s="32">
        <f>'Data Sheet'!D99/HistoricalFS!E18</f>
        <v>51.509909769835318</v>
      </c>
      <c r="F28" s="32">
        <f>'Data Sheet'!E99/HistoricalFS!F18</f>
        <v>34.947172553796186</v>
      </c>
      <c r="G28" s="32">
        <f>'Data Sheet'!F99/HistoricalFS!G18</f>
        <v>83.131408115942037</v>
      </c>
      <c r="H28" s="32">
        <f>'Data Sheet'!G99/HistoricalFS!H18</f>
        <v>69.037499102870811</v>
      </c>
      <c r="I28" s="32">
        <f>'Data Sheet'!H99/HistoricalFS!I18</f>
        <v>47.377472757066776</v>
      </c>
      <c r="J28" s="32">
        <f>'Data Sheet'!I99/HistoricalFS!J18</f>
        <v>66.425888888888892</v>
      </c>
      <c r="K28" s="32">
        <f>'Data Sheet'!J99/HistoricalFS!K18</f>
        <v>51.134038110291534</v>
      </c>
      <c r="L28" s="32">
        <f>'Data Sheet'!K99/HistoricalFS!L18</f>
        <v>45.412144549479478</v>
      </c>
      <c r="N28" s="32">
        <f t="shared" si="5"/>
        <v>53.675425879946104</v>
      </c>
      <c r="O28" s="32">
        <f t="shared" si="6"/>
        <v>51.32197394006343</v>
      </c>
    </row>
    <row r="29" spans="2:15" x14ac:dyDescent="0.2">
      <c r="B29" t="s">
        <v>1282</v>
      </c>
      <c r="C29" s="32">
        <f>'Data Sheet'!B99/HistoricalFS!C6</f>
        <v>3.1812823933343539</v>
      </c>
      <c r="D29" s="32">
        <f>'Data Sheet'!C99/HistoricalFS!D6</f>
        <v>5.2563091160729956</v>
      </c>
      <c r="E29" s="32">
        <f>'Data Sheet'!D99/HistoricalFS!E6</f>
        <v>5.1924988826262028</v>
      </c>
      <c r="F29" s="32">
        <f>'Data Sheet'!E99/HistoricalFS!F6</f>
        <v>4.088679745392362</v>
      </c>
      <c r="G29" s="32">
        <f>'Data Sheet'!F99/HistoricalFS!G6</f>
        <v>6.6254702919977824</v>
      </c>
      <c r="H29" s="32">
        <f>'Data Sheet'!G99/HistoricalFS!H6</f>
        <v>8.0162990728844754</v>
      </c>
      <c r="I29" s="32">
        <f>'Data Sheet'!H99/HistoricalFS!I6</f>
        <v>5.7004762045594584</v>
      </c>
      <c r="J29" s="32">
        <f>'Data Sheet'!I99/HistoricalFS!J6</f>
        <v>6.8813288700963122</v>
      </c>
      <c r="K29" s="32">
        <f>'Data Sheet'!J99/HistoricalFS!K6</f>
        <v>4.816018476247188</v>
      </c>
      <c r="L29" s="32">
        <f>'Data Sheet'!K99/HistoricalFS!L6</f>
        <v>4.3330892857142862</v>
      </c>
      <c r="N29" s="32">
        <f t="shared" si="5"/>
        <v>5.4091452338925414</v>
      </c>
      <c r="O29" s="32">
        <f t="shared" si="6"/>
        <v>5.2244039993495992</v>
      </c>
    </row>
    <row r="30" spans="2:15" x14ac:dyDescent="0.2">
      <c r="B30" t="s">
        <v>1283</v>
      </c>
      <c r="C30" s="32">
        <f>'Data Sheet'!B98/'Data Sheet'!B100</f>
        <v>9.7068186221464039</v>
      </c>
      <c r="D30" s="32">
        <f>'Data Sheet'!C98/'Data Sheet'!C100</f>
        <v>16.4360248178739</v>
      </c>
      <c r="E30" s="32">
        <f>'Data Sheet'!D98/'Data Sheet'!D100</f>
        <v>16.700319267233926</v>
      </c>
      <c r="F30" s="32">
        <f>'Data Sheet'!E98/'Data Sheet'!E100</f>
        <v>12.429732493627231</v>
      </c>
      <c r="G30" s="32">
        <f>'Data Sheet'!F98/'Data Sheet'!F100</f>
        <v>18.450537414965986</v>
      </c>
      <c r="H30" s="32">
        <f>'Data Sheet'!G98/'Data Sheet'!G100</f>
        <v>24.20288046866602</v>
      </c>
      <c r="I30" s="32">
        <f>'Data Sheet'!H98/'Data Sheet'!H100</f>
        <v>18.839998481140832</v>
      </c>
      <c r="J30" s="32">
        <f>'Data Sheet'!I98/'Data Sheet'!I100</f>
        <v>35.933546683700627</v>
      </c>
      <c r="K30" s="32">
        <f>'Data Sheet'!J98/'Data Sheet'!J100</f>
        <v>23.396783637302132</v>
      </c>
      <c r="L30" s="32">
        <f>'Data Sheet'!K98/'Data Sheet'!K100</f>
        <v>22.340017321530919</v>
      </c>
      <c r="N30" s="32">
        <f t="shared" si="5"/>
        <v>19.8436659208188</v>
      </c>
      <c r="O30" s="32">
        <f t="shared" si="6"/>
        <v>18.645267948053409</v>
      </c>
    </row>
    <row r="31" spans="2:15" x14ac:dyDescent="0.2">
      <c r="B31" s="24"/>
      <c r="C31" s="24"/>
      <c r="D31" s="24"/>
      <c r="E31" s="24"/>
      <c r="F31" s="24"/>
      <c r="G31" s="24"/>
      <c r="H31" s="24"/>
      <c r="I31" s="24"/>
      <c r="J31" s="24"/>
      <c r="K31" s="24"/>
      <c r="L31" s="24"/>
      <c r="M31" s="24"/>
      <c r="N31" s="24"/>
      <c r="O31" s="24"/>
    </row>
    <row r="32" spans="2:15" x14ac:dyDescent="0.2">
      <c r="B32" t="s">
        <v>148</v>
      </c>
      <c r="C32" s="32">
        <f>IFERROR(HistoricalFS!C6/HistoricalFS!C66,0)</f>
        <v>63.876830443159925</v>
      </c>
      <c r="D32" s="32">
        <f>IFERROR(HistoricalFS!D6/HistoricalFS!D66,0)</f>
        <v>54.515776657986407</v>
      </c>
      <c r="E32" s="32">
        <f>IFERROR(HistoricalFS!E6/HistoricalFS!E66,0)</f>
        <v>47.041312879058154</v>
      </c>
      <c r="F32" s="32">
        <f>IFERROR(HistoricalFS!F6/HistoricalFS!F66,0)</f>
        <v>67.474358974358978</v>
      </c>
      <c r="G32" s="32">
        <f>IFERROR(HistoricalFS!G6/HistoricalFS!G66,0)</f>
        <v>59.136612021857921</v>
      </c>
      <c r="H32" s="32">
        <f>IFERROR(HistoricalFS!H6/HistoricalFS!H66,0)</f>
        <v>50.971681415929204</v>
      </c>
      <c r="I32" s="32">
        <f>IFERROR(HistoricalFS!I6/HistoricalFS!I66,0)</f>
        <v>60.200296735905042</v>
      </c>
      <c r="J32" s="32">
        <f>IFERROR(HistoricalFS!J6/HistoricalFS!J66,0)</f>
        <v>50.180746561886053</v>
      </c>
      <c r="K32" s="32">
        <f>IFERROR(HistoricalFS!K6/HistoricalFS!K66,0)</f>
        <v>56.606741573033709</v>
      </c>
      <c r="L32" s="32">
        <f>IFERROR(HistoricalFS!L6/HistoricalFS!L66,0)</f>
        <v>95.615720524017462</v>
      </c>
      <c r="N32" s="32">
        <f t="shared" si="2"/>
        <v>60.562007778719284</v>
      </c>
      <c r="O32" s="32">
        <f t="shared" si="1"/>
        <v>57.871676797445815</v>
      </c>
    </row>
    <row r="33" spans="2:15" x14ac:dyDescent="0.2">
      <c r="B33" t="s">
        <v>149</v>
      </c>
      <c r="C33" s="32">
        <f>IFERROR(HistoricalFS!C6/'Data Sheet'!B62,0)</f>
        <v>16.935925925925925</v>
      </c>
      <c r="D33" s="32">
        <f>IFERROR(HistoricalFS!D6/'Data Sheet'!C62,0)</f>
        <v>18.359646924829157</v>
      </c>
      <c r="E33" s="32">
        <f>IFERROR(HistoricalFS!E6/'Data Sheet'!D62,0)</f>
        <v>21.830596026490067</v>
      </c>
      <c r="F33" s="32">
        <f>IFERROR(HistoricalFS!F6/'Data Sheet'!E62,0)</f>
        <v>35.322147651006709</v>
      </c>
      <c r="G33" s="32">
        <f>IFERROR(HistoricalFS!G6/'Data Sheet'!F62,0)</f>
        <v>27.432192648922687</v>
      </c>
      <c r="H33" s="32">
        <f>IFERROR(HistoricalFS!H6/'Data Sheet'!G62,0)</f>
        <v>22.255795981452859</v>
      </c>
      <c r="I33" s="32">
        <f>IFERROR(HistoricalFS!I6/'Data Sheet'!H62,0)</f>
        <v>33.422570016474467</v>
      </c>
      <c r="J33" s="32">
        <f>IFERROR(HistoricalFS!J6/'Data Sheet'!I62,0)</f>
        <v>36.229787234042554</v>
      </c>
      <c r="K33" s="32">
        <f>IFERROR(HistoricalFS!K6/'Data Sheet'!J62,0)</f>
        <v>30.79775853285787</v>
      </c>
      <c r="L33" s="32">
        <f>IFERROR(HistoricalFS!L6/'Data Sheet'!K62,0)</f>
        <v>30.58100558659218</v>
      </c>
      <c r="N33" s="32">
        <f t="shared" si="2"/>
        <v>27.31674265285945</v>
      </c>
      <c r="O33" s="32">
        <f t="shared" si="1"/>
        <v>29.006599117757432</v>
      </c>
    </row>
    <row r="34" spans="2:15" x14ac:dyDescent="0.2">
      <c r="B34" t="s">
        <v>150</v>
      </c>
      <c r="C34" s="32">
        <f>IFERROR(HistoricalFS!C9/HistoricalFS!C67,0)</f>
        <v>2.153181044878536</v>
      </c>
      <c r="D34" s="32">
        <f>IFERROR(HistoricalFS!D9/HistoricalFS!D67,0)</f>
        <v>2.1540885492266457</v>
      </c>
      <c r="E34" s="32">
        <f>IFERROR(HistoricalFS!E9/HistoricalFS!E67,0)</f>
        <v>2.2248729190404073</v>
      </c>
      <c r="F34" s="32">
        <f>IFERROR(HistoricalFS!F9/HistoricalFS!F67,0)</f>
        <v>2.0518326545723804</v>
      </c>
      <c r="G34" s="32">
        <f>IFERROR(HistoricalFS!G9/HistoricalFS!G67,0)</f>
        <v>2.1004995242626072</v>
      </c>
      <c r="H34" s="32">
        <f>IFERROR(HistoricalFS!H9/HistoricalFS!H67,0)</f>
        <v>1.7065912263942979</v>
      </c>
      <c r="I34" s="32">
        <f>IFERROR(HistoricalFS!I9/HistoricalFS!I67,0)</f>
        <v>1.9473589001447178</v>
      </c>
      <c r="J34" s="32">
        <f>IFERROR(HistoricalFS!J9/HistoricalFS!J67,0)</f>
        <v>2.1869718125032809</v>
      </c>
      <c r="K34" s="32">
        <f>IFERROR(HistoricalFS!K9/HistoricalFS!K67,0)</f>
        <v>1.7749077490774907</v>
      </c>
      <c r="L34" s="32">
        <f>IFERROR(HistoricalFS!L9/HistoricalFS!L67,0)</f>
        <v>1.7186673841330744</v>
      </c>
      <c r="N34" s="32">
        <f t="shared" si="2"/>
        <v>2.001897176423344</v>
      </c>
      <c r="O34" s="32">
        <f t="shared" si="1"/>
        <v>2.0761660894174936</v>
      </c>
    </row>
    <row r="35" spans="2:15" x14ac:dyDescent="0.2">
      <c r="B35" t="s">
        <v>151</v>
      </c>
      <c r="C35" s="32">
        <f>IFERROR(HistoricalFS!C6/HistoricalFS!C60,0)</f>
        <v>11.155553873073558</v>
      </c>
      <c r="D35" s="32">
        <f>IFERROR(HistoricalFS!D6/HistoricalFS!D60,0)</f>
        <v>10.93748176494935</v>
      </c>
      <c r="E35" s="32">
        <f>IFERROR(HistoricalFS!E6/HistoricalFS!E60,0)</f>
        <v>12.624882710020872</v>
      </c>
      <c r="F35" s="32">
        <f>IFERROR(HistoricalFS!F6/HistoricalFS!F60,0)</f>
        <v>7.995442461071022</v>
      </c>
      <c r="G35" s="32">
        <f>IFERROR(HistoricalFS!G6/HistoricalFS!G60,0)</f>
        <v>8.5786761791518042</v>
      </c>
      <c r="H35" s="32">
        <f>IFERROR(HistoricalFS!H6/HistoricalFS!H60,0)</f>
        <v>11.320361635220126</v>
      </c>
      <c r="I35" s="32">
        <f>IFERROR(HistoricalFS!I6/HistoricalFS!I60,0)</f>
        <v>13.534022681787858</v>
      </c>
      <c r="J35" s="32">
        <f>IFERROR(HistoricalFS!J6/HistoricalFS!J60,0)</f>
        <v>13.772984631976273</v>
      </c>
      <c r="K35" s="32">
        <f>IFERROR(HistoricalFS!K6/HistoricalFS!K60,0)</f>
        <v>14.883308714918758</v>
      </c>
      <c r="L35" s="32">
        <f>IFERROR(HistoricalFS!L6/HistoricalFS!L60,0)</f>
        <v>12.733934283221867</v>
      </c>
      <c r="N35" s="32">
        <f t="shared" si="2"/>
        <v>11.753664893539149</v>
      </c>
      <c r="O35" s="32">
        <f t="shared" si="1"/>
        <v>11.972622172620499</v>
      </c>
    </row>
    <row r="36" spans="2:15" x14ac:dyDescent="0.2">
      <c r="B36" t="s">
        <v>152</v>
      </c>
      <c r="C36" s="32">
        <f>IFERROR(HistoricalFS!C6/(SUM(HistoricalFS!C54:C55)),0)</f>
        <v>3.1331851109777475</v>
      </c>
      <c r="D36" s="32">
        <f>IFERROR(HistoricalFS!D6/(SUM(HistoricalFS!D54:D55)),0)</f>
        <v>3.1670235840530623</v>
      </c>
      <c r="E36" s="32">
        <f>IFERROR(HistoricalFS!E6/(SUM(HistoricalFS!E54:E55)),0)</f>
        <v>3.2583247530950636</v>
      </c>
      <c r="F36" s="32">
        <f>IFERROR(HistoricalFS!F6/(SUM(HistoricalFS!F54:F55)),0)</f>
        <v>3.1566951566951569</v>
      </c>
      <c r="G36" s="32">
        <f>IFERROR(HistoricalFS!G6/(SUM(HistoricalFS!G54:G55)),0)</f>
        <v>2.8870214752567693</v>
      </c>
      <c r="H36" s="32">
        <f>IFERROR(HistoricalFS!H6/(SUM(HistoricalFS!H54:H55)),0)</f>
        <v>3.0956680640653551</v>
      </c>
      <c r="I36" s="32">
        <f>IFERROR(HistoricalFS!I6/(SUM(HistoricalFS!I54:I55)),0)</f>
        <v>3.4237617078727531</v>
      </c>
      <c r="J36" s="32">
        <f>IFERROR(HistoricalFS!J6/(SUM(HistoricalFS!J54:J55)),0)</f>
        <v>5.4385180453529225</v>
      </c>
      <c r="K36" s="32">
        <f>IFERROR(HistoricalFS!K6/(SUM(HistoricalFS!K54:K55)),0)</f>
        <v>5.2009635237439777</v>
      </c>
      <c r="L36" s="32">
        <f>IFERROR(HistoricalFS!L6/(SUM(HistoricalFS!L54:L55)),0)</f>
        <v>5.5775329554862125</v>
      </c>
      <c r="N36" s="32">
        <f t="shared" si="2"/>
        <v>3.8338694376599021</v>
      </c>
      <c r="O36" s="32">
        <f t="shared" si="1"/>
        <v>3.212674168574063</v>
      </c>
    </row>
    <row r="37" spans="2:15" x14ac:dyDescent="0.2">
      <c r="B37" s="24"/>
      <c r="C37" s="24"/>
      <c r="D37" s="24"/>
      <c r="E37" s="24"/>
      <c r="F37" s="24"/>
      <c r="G37" s="24"/>
      <c r="H37" s="24"/>
      <c r="I37" s="24"/>
      <c r="J37" s="24"/>
      <c r="K37" s="24"/>
      <c r="L37" s="24"/>
      <c r="M37" s="24"/>
      <c r="N37" s="24"/>
      <c r="O37" s="24"/>
    </row>
    <row r="38" spans="2:15" x14ac:dyDescent="0.2">
      <c r="B38" s="33" t="s">
        <v>162</v>
      </c>
    </row>
    <row r="39" spans="2:15" x14ac:dyDescent="0.2">
      <c r="B39" t="s">
        <v>153</v>
      </c>
      <c r="C39" s="34">
        <f>IFERROR(365/C32,0)</f>
        <v>5.714121966724556</v>
      </c>
      <c r="D39" s="34">
        <f t="shared" ref="D39:L39" si="7">IFERROR(365/D32,0)</f>
        <v>6.6953095484612994</v>
      </c>
      <c r="E39" s="34">
        <f t="shared" si="7"/>
        <v>7.7591371851887798</v>
      </c>
      <c r="F39" s="34">
        <f t="shared" si="7"/>
        <v>5.4094622838685158</v>
      </c>
      <c r="G39" s="34">
        <f t="shared" si="7"/>
        <v>6.172149325448161</v>
      </c>
      <c r="H39" s="34">
        <f t="shared" si="7"/>
        <v>7.160838918017987</v>
      </c>
      <c r="I39" s="34">
        <f t="shared" si="7"/>
        <v>6.0630930375847196</v>
      </c>
      <c r="J39" s="34">
        <f t="shared" si="7"/>
        <v>7.2737060527758199</v>
      </c>
      <c r="K39" s="34">
        <f t="shared" si="7"/>
        <v>6.4479952362048429</v>
      </c>
      <c r="L39" s="34">
        <f t="shared" si="7"/>
        <v>3.8173639020825725</v>
      </c>
      <c r="N39" s="34">
        <f t="shared" ref="N39:N46" si="8">IFERROR(AVERAGE(C39:L39),0)</f>
        <v>6.2513177456357258</v>
      </c>
      <c r="O39" s="34">
        <f t="shared" ref="O39:O46" si="9">IFERROR(MEDIAN(C39:L39),0)</f>
        <v>6.3100722808265015</v>
      </c>
    </row>
    <row r="40" spans="2:15" x14ac:dyDescent="0.2">
      <c r="B40" t="s">
        <v>154</v>
      </c>
      <c r="C40" s="34">
        <f>IFERROR(365/C33,0)</f>
        <v>21.551818400507358</v>
      </c>
      <c r="D40" s="34">
        <f t="shared" ref="D40:L40" si="10">IFERROR(365/D33,0)</f>
        <v>19.880556608437963</v>
      </c>
      <c r="E40" s="34">
        <f t="shared" si="10"/>
        <v>16.719653442219133</v>
      </c>
      <c r="F40" s="34">
        <f t="shared" si="10"/>
        <v>10.333460003800115</v>
      </c>
      <c r="G40" s="34">
        <f t="shared" si="10"/>
        <v>13.305535021253004</v>
      </c>
      <c r="H40" s="34">
        <f t="shared" si="10"/>
        <v>16.400222229938539</v>
      </c>
      <c r="I40" s="34">
        <f t="shared" si="10"/>
        <v>10.920764017252003</v>
      </c>
      <c r="J40" s="34">
        <f t="shared" si="10"/>
        <v>10.074583039699318</v>
      </c>
      <c r="K40" s="34">
        <f t="shared" si="10"/>
        <v>11.85151184332407</v>
      </c>
      <c r="L40" s="34">
        <f t="shared" si="10"/>
        <v>11.935513335769089</v>
      </c>
      <c r="N40" s="34">
        <f t="shared" si="8"/>
        <v>14.297361794220057</v>
      </c>
      <c r="O40" s="34">
        <f t="shared" si="9"/>
        <v>12.620524178511047</v>
      </c>
    </row>
    <row r="41" spans="2:15" x14ac:dyDescent="0.2">
      <c r="B41" t="s">
        <v>155</v>
      </c>
      <c r="C41" s="34">
        <f>IFERROR(365/C34,0)</f>
        <v>169.51663255078961</v>
      </c>
      <c r="D41" s="34">
        <f t="shared" ref="D41:L41" si="11">IFERROR(365/D34,0)</f>
        <v>169.44521622894342</v>
      </c>
      <c r="E41" s="34">
        <f t="shared" si="11"/>
        <v>164.05431378859396</v>
      </c>
      <c r="F41" s="34">
        <f t="shared" si="11"/>
        <v>177.88975099242154</v>
      </c>
      <c r="G41" s="34">
        <f t="shared" si="11"/>
        <v>173.76818979672723</v>
      </c>
      <c r="H41" s="34">
        <f t="shared" si="11"/>
        <v>213.87664155005382</v>
      </c>
      <c r="I41" s="34">
        <f t="shared" si="11"/>
        <v>187.43334881560614</v>
      </c>
      <c r="J41" s="34">
        <f t="shared" si="11"/>
        <v>166.89744143625191</v>
      </c>
      <c r="K41" s="34">
        <f t="shared" si="11"/>
        <v>205.64449064449065</v>
      </c>
      <c r="L41" s="34">
        <f t="shared" si="11"/>
        <v>212.37384462503914</v>
      </c>
      <c r="N41" s="34">
        <f t="shared" si="8"/>
        <v>184.08998704289175</v>
      </c>
      <c r="O41" s="34">
        <f t="shared" si="9"/>
        <v>175.82897039457438</v>
      </c>
    </row>
    <row r="42" spans="2:15" x14ac:dyDescent="0.2">
      <c r="B42" t="s">
        <v>156</v>
      </c>
      <c r="C42" s="34">
        <f>IFERROR(SUM(C39,C41)-C40,0)</f>
        <v>153.6789361170068</v>
      </c>
      <c r="D42" s="34">
        <f t="shared" ref="D42:L42" si="12">IFERROR(SUM(D39,D41)-D40,0)</f>
        <v>156.25996916896676</v>
      </c>
      <c r="E42" s="34">
        <f t="shared" si="12"/>
        <v>155.09379753156361</v>
      </c>
      <c r="F42" s="34">
        <f t="shared" si="12"/>
        <v>172.96575327248993</v>
      </c>
      <c r="G42" s="34">
        <f t="shared" si="12"/>
        <v>166.63480410092239</v>
      </c>
      <c r="H42" s="34">
        <f t="shared" si="12"/>
        <v>204.63725823813326</v>
      </c>
      <c r="I42" s="34">
        <f t="shared" si="12"/>
        <v>182.57567783593885</v>
      </c>
      <c r="J42" s="34">
        <f t="shared" si="12"/>
        <v>164.09656444932841</v>
      </c>
      <c r="K42" s="34">
        <f t="shared" si="12"/>
        <v>200.24097403737142</v>
      </c>
      <c r="L42" s="34">
        <f t="shared" si="12"/>
        <v>204.25569519135263</v>
      </c>
      <c r="N42" s="34">
        <f t="shared" si="8"/>
        <v>176.04394299430737</v>
      </c>
      <c r="O42" s="34">
        <f t="shared" si="9"/>
        <v>169.80027868670618</v>
      </c>
    </row>
    <row r="43" spans="2:15" x14ac:dyDescent="0.2">
      <c r="B43" s="24"/>
      <c r="C43" s="24"/>
      <c r="D43" s="24"/>
      <c r="E43" s="24"/>
      <c r="F43" s="24"/>
      <c r="G43" s="24"/>
      <c r="H43" s="24"/>
      <c r="I43" s="24"/>
      <c r="J43" s="24"/>
      <c r="K43" s="24"/>
      <c r="L43" s="24"/>
      <c r="M43" s="24"/>
      <c r="N43" s="24"/>
      <c r="O43" s="24"/>
    </row>
    <row r="44" spans="2:15" x14ac:dyDescent="0.2">
      <c r="B44" t="s">
        <v>157</v>
      </c>
      <c r="C44" s="31">
        <f>IFERROR(HistoricalFS!C83/HistoricalFS!C6,0)</f>
        <v>0.14063976387601682</v>
      </c>
      <c r="D44" s="31">
        <f>IFERROR(HistoricalFS!D83/HistoricalFS!D6,0)</f>
        <v>-6.3090230195592123E-2</v>
      </c>
      <c r="E44" s="31">
        <f>IFERROR(HistoricalFS!E83/HistoricalFS!E6,0)</f>
        <v>1.0010860266592243E-2</v>
      </c>
      <c r="F44" s="31">
        <f>IFERROR(HistoricalFS!F83/HistoricalFS!F6,0)</f>
        <v>-8.7972639179175374E-2</v>
      </c>
      <c r="G44" s="31">
        <f>IFERROR(HistoricalFS!G83/HistoricalFS!G6,0)</f>
        <v>0.19104601737201996</v>
      </c>
      <c r="H44" s="31">
        <f>IFERROR(HistoricalFS!H83/HistoricalFS!H6,0)</f>
        <v>-0.17820063196638772</v>
      </c>
      <c r="I44" s="31">
        <f>IFERROR(HistoricalFS!I83/HistoricalFS!I6,0)</f>
        <v>-2.3265557609365373E-2</v>
      </c>
      <c r="J44" s="31">
        <f>IFERROR(HistoricalFS!J83/HistoricalFS!J6,0)</f>
        <v>-1.7285255657348682E-2</v>
      </c>
      <c r="K44" s="31">
        <f>IFERROR(HistoricalFS!K83/HistoricalFS!K6,0)</f>
        <v>-0.13621476776498612</v>
      </c>
      <c r="L44" s="31">
        <f>IFERROR(HistoricalFS!L83/HistoricalFS!L6,0)</f>
        <v>-3.2357508220679579E-2</v>
      </c>
      <c r="N44" s="31">
        <f t="shared" si="8"/>
        <v>-1.9668994907890598E-2</v>
      </c>
      <c r="O44" s="31">
        <f t="shared" si="9"/>
        <v>-2.7811532915022474E-2</v>
      </c>
    </row>
    <row r="45" spans="2:15" x14ac:dyDescent="0.2">
      <c r="B45" t="s">
        <v>158</v>
      </c>
      <c r="C45" s="31">
        <f>IFERROR(HistoricalFS!C83/HistoricalFS!C71,0)</f>
        <v>0.22182390393419266</v>
      </c>
      <c r="D45" s="31">
        <f>IFERROR(HistoricalFS!D83/HistoricalFS!D71,0)</f>
        <v>-0.10681606211086182</v>
      </c>
      <c r="E45" s="31">
        <f>IFERROR(HistoricalFS!E83/HistoricalFS!E71,0)</f>
        <v>1.6908856141501505E-2</v>
      </c>
      <c r="F45" s="31">
        <f>IFERROR(HistoricalFS!F83/HistoricalFS!F71,0)</f>
        <v>-0.13673951565268755</v>
      </c>
      <c r="G45" s="31">
        <f>IFERROR(HistoricalFS!G83/HistoricalFS!G71,0)</f>
        <v>0.25145949890537583</v>
      </c>
      <c r="H45" s="31">
        <f>IFERROR(HistoricalFS!H83/HistoricalFS!H71,0)</f>
        <v>-0.24221257315461581</v>
      </c>
      <c r="I45" s="31">
        <f>IFERROR(HistoricalFS!I83/HistoricalFS!I71,0)</f>
        <v>-3.4937083641746851E-2</v>
      </c>
      <c r="J45" s="31">
        <f>IFERROR(HistoricalFS!J83/HistoricalFS!J71,0)</f>
        <v>-2.7989983199670332E-2</v>
      </c>
      <c r="K45" s="31">
        <f>IFERROR(HistoricalFS!K83/HistoricalFS!K71,0)</f>
        <v>-0.20260794685693198</v>
      </c>
      <c r="L45" s="31">
        <f>IFERROR(HistoricalFS!L83/HistoricalFS!L71,0)</f>
        <v>-4.6795792671851522E-2</v>
      </c>
      <c r="N45" s="31">
        <f t="shared" si="8"/>
        <v>-3.0790669830729582E-2</v>
      </c>
      <c r="O45" s="31">
        <f t="shared" si="9"/>
        <v>-4.086643815679919E-2</v>
      </c>
    </row>
    <row r="46" spans="2:15" x14ac:dyDescent="0.2">
      <c r="B46" s="35" t="s">
        <v>159</v>
      </c>
      <c r="C46" s="36">
        <f>IFERROR(HistoricalFS!C83/HistoricalFS!C56,0)</f>
        <v>0.99074069155293953</v>
      </c>
      <c r="D46" s="36">
        <f>IFERROR(HistoricalFS!D83/HistoricalFS!D56,0)</f>
        <v>-0.6014157219649795</v>
      </c>
      <c r="E46" s="36">
        <f>IFERROR(HistoricalFS!E83/HistoricalFS!E56,0)</f>
        <v>8.2742020409698372E-2</v>
      </c>
      <c r="F46" s="36">
        <f>IFERROR(HistoricalFS!F83/HistoricalFS!F56,0)</f>
        <v>-0.5199326221224031</v>
      </c>
      <c r="G46" s="36">
        <f>IFERROR(HistoricalFS!G83/HistoricalFS!G56,0)</f>
        <v>0.73341610500177368</v>
      </c>
      <c r="H46" s="36">
        <f>IFERROR(HistoricalFS!H83/HistoricalFS!H56,0)</f>
        <v>-0.70542955326460477</v>
      </c>
      <c r="I46" s="36">
        <f>IFERROR(HistoricalFS!I83/HistoricalFS!I56,0)</f>
        <v>-0.10077933169638091</v>
      </c>
      <c r="J46" s="36">
        <f>IFERROR(HistoricalFS!J83/HistoricalFS!J56,0)</f>
        <v>-5.6865018031942299E-2</v>
      </c>
      <c r="K46" s="36">
        <f>IFERROR(HistoricalFS!K83/HistoricalFS!K56,0)</f>
        <v>-0.39635173509168792</v>
      </c>
      <c r="L46" s="36">
        <f>IFERROR(HistoricalFS!L83/HistoricalFS!L56,0)</f>
        <v>-9.255086378629046E-2</v>
      </c>
      <c r="M46" s="35"/>
      <c r="N46" s="36">
        <f t="shared" si="8"/>
        <v>-6.6642602899387726E-2</v>
      </c>
      <c r="O46" s="36">
        <f t="shared" si="9"/>
        <v>-9.6665097741335693E-2</v>
      </c>
    </row>
  </sheetData>
  <sheetProtection sheet="1" objects="1" scenarios="1"/>
  <mergeCells count="1">
    <mergeCell ref="B2:O2"/>
  </mergeCells>
  <pageMargins left="0.7" right="0.7" top="0.75" bottom="0.75" header="0.3" footer="0.3"/>
  <pageSetup paperSize="9" orientation="portrait" horizontalDpi="0" verticalDpi="0"/>
  <extLst>
    <ext xmlns:x14="http://schemas.microsoft.com/office/spreadsheetml/2009/9/main" uri="{05C60535-1F16-4fd2-B633-F4F36F0B64E0}">
      <x14:sparklineGroups xmlns:xm="http://schemas.microsoft.com/office/excel/2006/main">
        <x14:sparklineGroup displayEmptyCellsAs="gap" xr2:uid="{43FC9B84-2C4D-7A4E-BD60-BDB1EFAA28CC}">
          <x14:colorSeries rgb="FF376092"/>
          <x14:colorNegative rgb="FFD00000"/>
          <x14:colorAxis rgb="FF000000"/>
          <x14:colorMarkers rgb="FFD00000"/>
          <x14:colorFirst rgb="FFD00000"/>
          <x14:colorLast rgb="FFD00000"/>
          <x14:colorHigh rgb="FFD00000"/>
          <x14:colorLow rgb="FFD00000"/>
          <x14:sparklines>
            <x14:sparkline>
              <xm:f>'Ratio Analysis'!C26:L26</xm:f>
              <xm:sqref>M26</xm:sqref>
            </x14:sparkline>
          </x14:sparklines>
        </x14:sparklineGroup>
        <x14:sparklineGroup displayEmptyCellsAs="gap" xr2:uid="{AD288A89-E370-584D-B20F-EFCD0B9351CC}">
          <x14:colorSeries rgb="FF376092"/>
          <x14:colorNegative rgb="FFD00000"/>
          <x14:colorAxis rgb="FF000000"/>
          <x14:colorMarkers rgb="FFD00000"/>
          <x14:colorFirst rgb="FFD00000"/>
          <x14:colorLast rgb="FFD00000"/>
          <x14:colorHigh rgb="FFD00000"/>
          <x14:colorLow rgb="FFD00000"/>
          <x14:sparklines>
            <x14:sparkline>
              <xm:f>'Ratio Analysis'!D5:L5</xm:f>
              <xm:sqref>M5</xm:sqref>
            </x14:sparkline>
            <x14:sparkline>
              <xm:f>'Ratio Analysis'!D6:L6</xm:f>
              <xm:sqref>M6</xm:sqref>
            </x14:sparkline>
            <x14:sparkline>
              <xm:f>'Ratio Analysis'!D7:L7</xm:f>
              <xm:sqref>M7</xm:sqref>
            </x14:sparkline>
            <x14:sparkline>
              <xm:f>'Ratio Analysis'!D8:L8</xm:f>
              <xm:sqref>M8</xm:sqref>
            </x14:sparkline>
            <x14:sparkline>
              <xm:f>'Ratio Analysis'!D9:L9</xm:f>
              <xm:sqref>M9</xm:sqref>
            </x14:sparkline>
          </x14:sparklines>
        </x14:sparklineGroup>
        <x14:sparklineGroup displayEmptyCellsAs="gap" xr2:uid="{E018CE86-37DF-A247-95D6-EE3B089B3F16}">
          <x14:colorSeries rgb="FF376092"/>
          <x14:colorNegative rgb="FFD00000"/>
          <x14:colorAxis rgb="FF000000"/>
          <x14:colorMarkers rgb="FFD00000"/>
          <x14:colorFirst rgb="FFD00000"/>
          <x14:colorLast rgb="FFD00000"/>
          <x14:colorHigh rgb="FFD00000"/>
          <x14:colorLow rgb="FFD00000"/>
          <x14:sparklines>
            <x14:sparkline>
              <xm:f>'Ratio Analysis'!C11:L11</xm:f>
              <xm:sqref>M11</xm:sqref>
            </x14:sparkline>
            <x14:sparkline>
              <xm:f>'Ratio Analysis'!C12:L12</xm:f>
              <xm:sqref>M12</xm:sqref>
            </x14:sparkline>
            <x14:sparkline>
              <xm:f>'Ratio Analysis'!C13:L13</xm:f>
              <xm:sqref>M13</xm:sqref>
            </x14:sparkline>
            <x14:sparkline>
              <xm:f>'Ratio Analysis'!C14:L14</xm:f>
              <xm:sqref>M14</xm:sqref>
            </x14:sparkline>
            <x14:sparkline>
              <xm:f>'Ratio Analysis'!C15:L15</xm:f>
              <xm:sqref>M15</xm:sqref>
            </x14:sparkline>
            <x14:sparkline>
              <xm:f>'Ratio Analysis'!C16:L16</xm:f>
              <xm:sqref>M16</xm:sqref>
            </x14:sparkline>
            <x14:sparkline>
              <xm:f>'Ratio Analysis'!C17:L17</xm:f>
              <xm:sqref>M17</xm:sqref>
            </x14:sparkline>
            <x14:sparkline>
              <xm:f>'Ratio Analysis'!C18:L18</xm:f>
              <xm:sqref>M18</xm:sqref>
            </x14:sparkline>
            <x14:sparkline>
              <xm:f>'Ratio Analysis'!C19:L19</xm:f>
              <xm:sqref>M19</xm:sqref>
            </x14:sparkline>
            <x14:sparkline>
              <xm:f>'Ratio Analysis'!C20:L20</xm:f>
              <xm:sqref>M20</xm:sqref>
            </x14:sparkline>
            <x14:sparkline>
              <xm:f>'Ratio Analysis'!C21:L21</xm:f>
              <xm:sqref>M21</xm:sqref>
            </x14:sparkline>
            <x14:sparkline>
              <xm:f>'Ratio Analysis'!C22:L22</xm:f>
              <xm:sqref>M22</xm:sqref>
            </x14:sparkline>
            <x14:sparkline>
              <xm:f>'Ratio Analysis'!C23:L23</xm:f>
              <xm:sqref>M23</xm:sqref>
            </x14:sparkline>
            <x14:sparkline>
              <xm:f>'Ratio Analysis'!C24:L24</xm:f>
              <xm:sqref>M24</xm:sqref>
            </x14:sparkline>
            <x14:sparkline>
              <xm:f>'Ratio Analysis'!C25:L25</xm:f>
              <xm:sqref>M25</xm:sqref>
            </x14:sparkline>
            <x14:sparkline>
              <xm:f>'Ratio Analysis'!C27:L27</xm:f>
              <xm:sqref>M27</xm:sqref>
            </x14:sparkline>
            <x14:sparkline>
              <xm:f>'Ratio Analysis'!C28:L28</xm:f>
              <xm:sqref>M28</xm:sqref>
            </x14:sparkline>
            <x14:sparkline>
              <xm:f>'Ratio Analysis'!C29:L29</xm:f>
              <xm:sqref>M29</xm:sqref>
            </x14:sparkline>
            <x14:sparkline>
              <xm:f>'Ratio Analysis'!C30:L30</xm:f>
              <xm:sqref>M30</xm:sqref>
            </x14:sparkline>
            <x14:sparkline>
              <xm:f>'Ratio Analysis'!C31:L31</xm:f>
              <xm:sqref>M31</xm:sqref>
            </x14:sparkline>
            <x14:sparkline>
              <xm:f>'Ratio Analysis'!C32:L32</xm:f>
              <xm:sqref>M32</xm:sqref>
            </x14:sparkline>
            <x14:sparkline>
              <xm:f>'Ratio Analysis'!C33:L33</xm:f>
              <xm:sqref>M33</xm:sqref>
            </x14:sparkline>
            <x14:sparkline>
              <xm:f>'Ratio Analysis'!C34:L34</xm:f>
              <xm:sqref>M34</xm:sqref>
            </x14:sparkline>
            <x14:sparkline>
              <xm:f>'Ratio Analysis'!C35:L35</xm:f>
              <xm:sqref>M35</xm:sqref>
            </x14:sparkline>
            <x14:sparkline>
              <xm:f>'Ratio Analysis'!C36:L36</xm:f>
              <xm:sqref>M36</xm:sqref>
            </x14:sparkline>
            <x14:sparkline>
              <xm:f>'Ratio Analysis'!C37:L37</xm:f>
              <xm:sqref>M37</xm:sqref>
            </x14:sparkline>
            <x14:sparkline>
              <xm:f>'Ratio Analysis'!C38:L38</xm:f>
              <xm:sqref>M38</xm:sqref>
            </x14:sparkline>
            <x14:sparkline>
              <xm:f>'Ratio Analysis'!C39:L39</xm:f>
              <xm:sqref>M39</xm:sqref>
            </x14:sparkline>
            <x14:sparkline>
              <xm:f>'Ratio Analysis'!C40:L40</xm:f>
              <xm:sqref>M40</xm:sqref>
            </x14:sparkline>
            <x14:sparkline>
              <xm:f>'Ratio Analysis'!C41:L41</xm:f>
              <xm:sqref>M41</xm:sqref>
            </x14:sparkline>
            <x14:sparkline>
              <xm:f>'Ratio Analysis'!C42:L42</xm:f>
              <xm:sqref>M42</xm:sqref>
            </x14:sparkline>
            <x14:sparkline>
              <xm:f>'Ratio Analysis'!C43:L43</xm:f>
              <xm:sqref>M43</xm:sqref>
            </x14:sparkline>
            <x14:sparkline>
              <xm:f>'Ratio Analysis'!C44:L44</xm:f>
              <xm:sqref>M44</xm:sqref>
            </x14:sparkline>
            <x14:sparkline>
              <xm:f>'Ratio Analysis'!C45:L45</xm:f>
              <xm:sqref>M45</xm:sqref>
            </x14:sparkline>
            <x14:sparkline>
              <xm:f>'Ratio Analysis'!C46:L46</xm:f>
              <xm:sqref>M46</xm:sqref>
            </x14:sparkline>
          </x14:sparklines>
        </x14:sparklineGroup>
      </x14:sparklineGroup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19A64-E734-2443-A5DB-137E08A7AF4D}">
  <dimension ref="B3:L41"/>
  <sheetViews>
    <sheetView showGridLines="0" zoomScale="92" workbookViewId="0">
      <selection activeCell="O22" sqref="O22"/>
    </sheetView>
  </sheetViews>
  <sheetFormatPr baseColWidth="10" defaultRowHeight="15" x14ac:dyDescent="0.2"/>
  <cols>
    <col min="1" max="1" width="2.1640625" customWidth="1"/>
    <col min="2" max="2" width="20" bestFit="1" customWidth="1"/>
    <col min="3" max="3" width="13" bestFit="1" customWidth="1"/>
  </cols>
  <sheetData>
    <row r="3" spans="2:12" x14ac:dyDescent="0.2">
      <c r="B3" s="275" t="str">
        <f>"Common Size Income Statement - "&amp;'Data Sheet'!$B$2</f>
        <v>Common Size Income Statement - TITAN COMPANY LTD</v>
      </c>
      <c r="C3" s="275"/>
      <c r="D3" s="275"/>
      <c r="E3" s="275"/>
      <c r="F3" s="275"/>
      <c r="G3" s="275"/>
      <c r="H3" s="275"/>
      <c r="I3" s="275"/>
      <c r="J3" s="275"/>
      <c r="K3" s="275"/>
      <c r="L3" s="275"/>
    </row>
    <row r="5" spans="2:12" x14ac:dyDescent="0.2">
      <c r="B5" s="26" t="s">
        <v>168</v>
      </c>
      <c r="C5" s="167">
        <f>'Data Sheet'!B$17</f>
        <v>42825</v>
      </c>
      <c r="D5" s="167">
        <f>'Data Sheet'!C$17</f>
        <v>43190</v>
      </c>
      <c r="E5" s="167">
        <f>'Data Sheet'!D$17</f>
        <v>43555</v>
      </c>
      <c r="F5" s="167">
        <f>'Data Sheet'!E$17</f>
        <v>43921</v>
      </c>
      <c r="G5" s="167">
        <f>'Data Sheet'!F$17</f>
        <v>44286</v>
      </c>
      <c r="H5" s="167">
        <f>'Data Sheet'!G$17</f>
        <v>44651</v>
      </c>
      <c r="I5" s="167">
        <f>'Data Sheet'!H$17</f>
        <v>45016</v>
      </c>
      <c r="J5" s="167">
        <f>'Data Sheet'!I$17</f>
        <v>45382</v>
      </c>
      <c r="K5" s="167">
        <f>'Data Sheet'!J$17</f>
        <v>45747</v>
      </c>
      <c r="L5" s="167">
        <f>'Data Sheet'!K$17</f>
        <v>46112</v>
      </c>
    </row>
    <row r="6" spans="2:12" x14ac:dyDescent="0.2">
      <c r="B6" s="23"/>
      <c r="C6" s="168"/>
      <c r="D6" s="168"/>
      <c r="E6" s="168"/>
      <c r="F6" s="168"/>
      <c r="G6" s="168"/>
      <c r="H6" s="168"/>
      <c r="I6" s="168"/>
      <c r="J6" s="168"/>
      <c r="K6" s="168"/>
      <c r="L6" s="168"/>
    </row>
    <row r="7" spans="2:12" x14ac:dyDescent="0.2">
      <c r="B7" t="str">
        <f>'Data Sheet'!A18</f>
        <v>Sales </v>
      </c>
      <c r="C7" s="169">
        <f>'Data Sheet'!B18/'Data Sheet'!B$18</f>
        <v>1</v>
      </c>
      <c r="D7" s="169">
        <f>'Data Sheet'!C18/'Data Sheet'!C$18</f>
        <v>1</v>
      </c>
      <c r="E7" s="169">
        <f>'Data Sheet'!D18/'Data Sheet'!D$18</f>
        <v>1</v>
      </c>
      <c r="F7" s="169">
        <f>'Data Sheet'!E18/'Data Sheet'!E$18</f>
        <v>1</v>
      </c>
      <c r="G7" s="169">
        <f>'Data Sheet'!F18/'Data Sheet'!F$18</f>
        <v>1</v>
      </c>
      <c r="H7" s="169">
        <f>'Data Sheet'!G18/'Data Sheet'!G$18</f>
        <v>1</v>
      </c>
      <c r="I7" s="169">
        <f>'Data Sheet'!H18/'Data Sheet'!H$18</f>
        <v>1</v>
      </c>
      <c r="J7" s="169">
        <f>'Data Sheet'!I18/'Data Sheet'!I$18</f>
        <v>1</v>
      </c>
      <c r="K7" s="169">
        <f>'Data Sheet'!J18/'Data Sheet'!J$18</f>
        <v>1</v>
      </c>
      <c r="L7" s="169">
        <f>'Data Sheet'!K18/'Data Sheet'!K$18</f>
        <v>1</v>
      </c>
    </row>
    <row r="8" spans="2:12" x14ac:dyDescent="0.2">
      <c r="B8" t="str">
        <f>'Data Sheet'!A19</f>
        <v>Raw Material Cost </v>
      </c>
      <c r="C8" s="169">
        <f>'Data Sheet'!B19/'Data Sheet'!B$18</f>
        <v>0.74061276707415746</v>
      </c>
      <c r="D8" s="169">
        <f>'Data Sheet'!C19/'Data Sheet'!C$18</f>
        <v>0.78567063922127922</v>
      </c>
      <c r="E8" s="169">
        <f>'Data Sheet'!D19/'Data Sheet'!D$18</f>
        <v>0.767027057636264</v>
      </c>
      <c r="F8" s="169">
        <f>'Data Sheet'!E19/'Data Sheet'!E$18</f>
        <v>0.76159034771043133</v>
      </c>
      <c r="G8" s="169">
        <f>'Data Sheet'!F19/'Data Sheet'!F$18</f>
        <v>0.75272592866383292</v>
      </c>
      <c r="H8" s="169">
        <f>'Data Sheet'!G19/'Data Sheet'!G$18</f>
        <v>0.91794853987985692</v>
      </c>
      <c r="I8" s="169">
        <f>'Data Sheet'!H19/'Data Sheet'!H$18</f>
        <v>0.80317929759704254</v>
      </c>
      <c r="J8" s="169">
        <f>'Data Sheet'!I19/'Data Sheet'!I$18</f>
        <v>0.82419152767989978</v>
      </c>
      <c r="K8" s="169">
        <f>'Data Sheet'!J19/'Data Sheet'!J$18</f>
        <v>0.91423514622204582</v>
      </c>
      <c r="L8" s="169">
        <f>'Data Sheet'!K19/'Data Sheet'!K$18</f>
        <v>0.91618332115454881</v>
      </c>
    </row>
    <row r="9" spans="2:12" x14ac:dyDescent="0.2">
      <c r="B9" t="str">
        <f>'Data Sheet'!A20</f>
        <v>Change in Inventory </v>
      </c>
      <c r="C9" s="169">
        <f>'Data Sheet'!B20/'Data Sheet'!B$18</f>
        <v>2.3656890254984037E-2</v>
      </c>
      <c r="D9" s="169">
        <f>'Data Sheet'!C20/'Data Sheet'!C$18</f>
        <v>6.0708682568051529E-2</v>
      </c>
      <c r="E9" s="169">
        <f>'Data Sheet'!D20/'Data Sheet'!D$18</f>
        <v>3.9255212220125672E-2</v>
      </c>
      <c r="F9" s="169">
        <f>'Data Sheet'!E20/'Data Sheet'!E$18</f>
        <v>4.1706251187535626E-2</v>
      </c>
      <c r="G9" s="169">
        <f>'Data Sheet'!F20/'Data Sheet'!F$18</f>
        <v>-5.6366660506375899E-3</v>
      </c>
      <c r="H9" s="169">
        <f>'Data Sheet'!G20/'Data Sheet'!G$18</f>
        <v>0.16649883676516547</v>
      </c>
      <c r="I9" s="169">
        <f>'Data Sheet'!H20/'Data Sheet'!H$18</f>
        <v>5.5058533579790514E-2</v>
      </c>
      <c r="J9" s="169">
        <f>'Data Sheet'!I20/'Data Sheet'!I$18</f>
        <v>5.2286430193406938E-2</v>
      </c>
      <c r="K9" s="169">
        <f>'Data Sheet'!J20/'Data Sheet'!J$18</f>
        <v>0.12926756649464072</v>
      </c>
      <c r="L9" s="169">
        <f>'Data Sheet'!K20/'Data Sheet'!K$18</f>
        <v>0.1134453781512605</v>
      </c>
    </row>
    <row r="10" spans="2:12" x14ac:dyDescent="0.2">
      <c r="B10" t="str">
        <f>'Data Sheet'!A21</f>
        <v>Power and Fuel </v>
      </c>
      <c r="C10" s="169">
        <f>'Data Sheet'!B21/'Data Sheet'!B$18</f>
        <v>3.3059770768496394E-3</v>
      </c>
      <c r="D10" s="169">
        <f>'Data Sheet'!C21/'Data Sheet'!C$18</f>
        <v>2.8114545058645379E-3</v>
      </c>
      <c r="E10" s="169">
        <f>'Data Sheet'!D21/'Data Sheet'!D$18</f>
        <v>2.4526607653150992E-3</v>
      </c>
      <c r="F10" s="169">
        <f>'Data Sheet'!E21/'Data Sheet'!E$18</f>
        <v>2.4700741022230669E-3</v>
      </c>
      <c r="G10" s="169">
        <f>'Data Sheet'!F21/'Data Sheet'!F$18</f>
        <v>1.7094806874884494E-3</v>
      </c>
      <c r="H10" s="169">
        <f>'Data Sheet'!G21/'Data Sheet'!G$18</f>
        <v>1.5625542553560888E-3</v>
      </c>
      <c r="I10" s="169">
        <f>'Data Sheet'!H21/'Data Sheet'!H$18</f>
        <v>1.4540973505853358E-3</v>
      </c>
      <c r="J10" s="169">
        <f>'Data Sheet'!I21/'Data Sheet'!I$18</f>
        <v>1.3898676689374364E-3</v>
      </c>
      <c r="K10" s="169">
        <f>'Data Sheet'!J21/'Data Sheet'!J$18</f>
        <v>1.2901945216355697E-3</v>
      </c>
      <c r="L10" s="169">
        <f>'Data Sheet'!K21/'Data Sheet'!K$18</f>
        <v>9.9333211545487763E-4</v>
      </c>
    </row>
    <row r="11" spans="2:12" x14ac:dyDescent="0.2">
      <c r="B11" t="str">
        <f>'Data Sheet'!A22</f>
        <v>Other Mfr. Exp </v>
      </c>
      <c r="C11" s="169">
        <f>'Data Sheet'!B22/'Data Sheet'!B$18</f>
        <v>1.2097281995169231E-2</v>
      </c>
      <c r="D11" s="169">
        <f>'Data Sheet'!C22/'Data Sheet'!C$18</f>
        <v>7.7439070160430327E-3</v>
      </c>
      <c r="E11" s="169">
        <f>'Data Sheet'!D22/'Data Sheet'!D$18</f>
        <v>9.772217537004791E-3</v>
      </c>
      <c r="F11" s="169">
        <f>'Data Sheet'!E22/'Data Sheet'!E$18</f>
        <v>1.0212806384191525E-2</v>
      </c>
      <c r="G11" s="169">
        <f>'Data Sheet'!F22/'Data Sheet'!F$18</f>
        <v>6.5145074847532802E-3</v>
      </c>
      <c r="H11" s="169">
        <f>'Data Sheet'!G22/'Data Sheet'!G$18</f>
        <v>6.3543873051147611E-3</v>
      </c>
      <c r="I11" s="169">
        <f>'Data Sheet'!H22/'Data Sheet'!H$18</f>
        <v>5.5452865064695009E-3</v>
      </c>
      <c r="J11" s="169">
        <f>'Data Sheet'!I22/'Data Sheet'!I$18</f>
        <v>5.5986218776916449E-3</v>
      </c>
      <c r="K11" s="169">
        <f>'Data Sheet'!J22/'Data Sheet'!J$18</f>
        <v>5.3923514622204582E-3</v>
      </c>
      <c r="L11" s="169">
        <f>'Data Sheet'!K22/'Data Sheet'!K$18</f>
        <v>4.2816039459261969E-3</v>
      </c>
    </row>
    <row r="12" spans="2:12" x14ac:dyDescent="0.2">
      <c r="B12" t="str">
        <f>'Data Sheet'!A23</f>
        <v>Employee Cost </v>
      </c>
      <c r="C12" s="169">
        <f>'Data Sheet'!B23/'Data Sheet'!B$18</f>
        <v>6.7440725806755683E-2</v>
      </c>
      <c r="D12" s="169">
        <f>'Data Sheet'!C23/'Data Sheet'!C$18</f>
        <v>5.6220405129849868E-2</v>
      </c>
      <c r="E12" s="169">
        <f>'Data Sheet'!D23/'Data Sheet'!D$18</f>
        <v>5.1795584300544227E-2</v>
      </c>
      <c r="F12" s="169">
        <f>'Data Sheet'!E23/'Data Sheet'!E$18</f>
        <v>5.7191715751472541E-2</v>
      </c>
      <c r="G12" s="169">
        <f>'Data Sheet'!F23/'Data Sheet'!F$18</f>
        <v>4.9390131214193313E-2</v>
      </c>
      <c r="H12" s="169">
        <f>'Data Sheet'!G23/'Data Sheet'!G$18</f>
        <v>4.7084968228063476E-2</v>
      </c>
      <c r="I12" s="169">
        <f>'Data Sheet'!H23/'Data Sheet'!H$18</f>
        <v>4.0813308687615527E-2</v>
      </c>
      <c r="J12" s="169">
        <f>'Data Sheet'!I23/'Data Sheet'!I$18</f>
        <v>3.6704251820530893E-2</v>
      </c>
      <c r="K12" s="169">
        <f>'Data Sheet'!J23/'Data Sheet'!J$18</f>
        <v>3.5794627497684264E-2</v>
      </c>
      <c r="L12" s="169">
        <f>'Data Sheet'!K23/'Data Sheet'!K$18</f>
        <v>3.0736207526488857E-2</v>
      </c>
    </row>
    <row r="13" spans="2:12" x14ac:dyDescent="0.2">
      <c r="B13" t="str">
        <f>'Data Sheet'!A24</f>
        <v>Selling and admin </v>
      </c>
      <c r="C13" s="169">
        <f>'Data Sheet'!B24/'Data Sheet'!B$18</f>
        <v>9.1333649552856055E-2</v>
      </c>
      <c r="D13" s="169">
        <f>'Data Sheet'!C24/'Data Sheet'!C$18</f>
        <v>7.9269741441720318E-2</v>
      </c>
      <c r="E13" s="169">
        <f>'Data Sheet'!D24/'Data Sheet'!D$18</f>
        <v>7.3530274257123385E-2</v>
      </c>
      <c r="F13" s="169">
        <f>'Data Sheet'!E24/'Data Sheet'!E$18</f>
        <v>6.9827094812844381E-2</v>
      </c>
      <c r="G13" s="169">
        <f>'Data Sheet'!F24/'Data Sheet'!F$18</f>
        <v>4.7542043984476069E-2</v>
      </c>
      <c r="H13" s="169">
        <f>'Data Sheet'!G24/'Data Sheet'!G$18</f>
        <v>5.8925657140872945E-2</v>
      </c>
      <c r="I13" s="169">
        <f>'Data Sheet'!H24/'Data Sheet'!H$18</f>
        <v>6.6913123844731984E-2</v>
      </c>
      <c r="J13" s="169">
        <f>'Data Sheet'!I24/'Data Sheet'!I$18</f>
        <v>6.360112755461593E-2</v>
      </c>
      <c r="K13" s="169">
        <f>'Data Sheet'!J24/'Data Sheet'!J$18</f>
        <v>5.7794098187111287E-2</v>
      </c>
      <c r="L13" s="169">
        <f>'Data Sheet'!K24/'Data Sheet'!K$18</f>
        <v>4.7782700036536355E-2</v>
      </c>
    </row>
    <row r="14" spans="2:12" x14ac:dyDescent="0.2">
      <c r="B14" t="str">
        <f>'Data Sheet'!A25</f>
        <v>Other Expenses </v>
      </c>
      <c r="C14" s="169">
        <f>'Data Sheet'!B25/'Data Sheet'!B$18</f>
        <v>2.1096718682013117E-2</v>
      </c>
      <c r="D14" s="169">
        <f>'Data Sheet'!C25/'Data Sheet'!C$18</f>
        <v>2.6993561322525072E-2</v>
      </c>
      <c r="E14" s="169">
        <f>'Data Sheet'!D25/'Data Sheet'!D$18</f>
        <v>3.3871594032313837E-2</v>
      </c>
      <c r="F14" s="169">
        <f>'Data Sheet'!E25/'Data Sheet'!E$18</f>
        <v>2.3418202546076381E-2</v>
      </c>
      <c r="G14" s="169">
        <f>'Data Sheet'!F25/'Data Sheet'!F$18</f>
        <v>5.678248013306228E-2</v>
      </c>
      <c r="H14" s="169">
        <f>'Data Sheet'!G25/'Data Sheet'!G$18</f>
        <v>1.8507587068995451E-2</v>
      </c>
      <c r="I14" s="169">
        <f>'Data Sheet'!H25/'Data Sheet'!H$18</f>
        <v>1.6833025261860753E-2</v>
      </c>
      <c r="J14" s="169">
        <f>'Data Sheet'!I25/'Data Sheet'!I$18</f>
        <v>1.7206953253464882E-2</v>
      </c>
      <c r="K14" s="169">
        <f>'Data Sheet'!J25/'Data Sheet'!J$18</f>
        <v>2.0576948524546779E-2</v>
      </c>
      <c r="L14" s="169">
        <f>'Data Sheet'!K25/'Data Sheet'!K$18</f>
        <v>1.8051242236024844E-2</v>
      </c>
    </row>
    <row r="15" spans="2:12" x14ac:dyDescent="0.2">
      <c r="B15" t="str">
        <f>'Data Sheet'!A26</f>
        <v>Other Income </v>
      </c>
      <c r="C15" s="169">
        <f>'Data Sheet'!B26/'Data Sheet'!B$18</f>
        <v>-3.1958783877027307E-3</v>
      </c>
      <c r="D15" s="169">
        <f>'Data Sheet'!C26/'Data Sheet'!C$18</f>
        <v>4.3381512267234587E-3</v>
      </c>
      <c r="E15" s="169">
        <f>'Data Sheet'!D26/'Data Sheet'!D$18</f>
        <v>9.0239310120271889E-3</v>
      </c>
      <c r="F15" s="169">
        <f>'Data Sheet'!E26/'Data Sheet'!E$18</f>
        <v>7.2677180315409463E-3</v>
      </c>
      <c r="G15" s="169">
        <f>'Data Sheet'!F26/'Data Sheet'!F$18</f>
        <v>8.3163925337275922E-3</v>
      </c>
      <c r="H15" s="169">
        <f>'Data Sheet'!G26/'Data Sheet'!G$18</f>
        <v>6.1460467377339491E-3</v>
      </c>
      <c r="I15" s="169">
        <f>'Data Sheet'!H26/'Data Sheet'!H$18</f>
        <v>7.5415896487985214E-3</v>
      </c>
      <c r="J15" s="169">
        <f>'Data Sheet'!I26/'Data Sheet'!I$18</f>
        <v>1.0453370918487198E-2</v>
      </c>
      <c r="K15" s="169">
        <f>'Data Sheet'!J26/'Data Sheet'!J$18</f>
        <v>8.0554452825195178E-3</v>
      </c>
      <c r="L15" s="169">
        <f>'Data Sheet'!K26/'Data Sheet'!K$18</f>
        <v>5.1379247351114356E-3</v>
      </c>
    </row>
    <row r="16" spans="2:12" x14ac:dyDescent="0.2">
      <c r="B16" t="str">
        <f>'Data Sheet'!A27</f>
        <v>Depreciation </v>
      </c>
      <c r="C16" s="169">
        <f>'Data Sheet'!B27/'Data Sheet'!B$18</f>
        <v>8.3350740489094577E-3</v>
      </c>
      <c r="D16" s="169">
        <f>'Data Sheet'!C27/'Data Sheet'!C$18</f>
        <v>8.1533421382563153E-3</v>
      </c>
      <c r="E16" s="169">
        <f>'Data Sheet'!D27/'Data Sheet'!D$18</f>
        <v>8.2331741707670752E-3</v>
      </c>
      <c r="F16" s="169">
        <f>'Data Sheet'!E27/'Data Sheet'!E$18</f>
        <v>1.6530495914877447E-2</v>
      </c>
      <c r="G16" s="169">
        <f>'Data Sheet'!F27/'Data Sheet'!F$18</f>
        <v>1.7325817778599151E-2</v>
      </c>
      <c r="H16" s="169">
        <f>'Data Sheet'!G27/'Data Sheet'!G$18</f>
        <v>1.3854647730823988E-2</v>
      </c>
      <c r="I16" s="169">
        <f>'Data Sheet'!H27/'Data Sheet'!H$18</f>
        <v>1.0868761552680222E-2</v>
      </c>
      <c r="J16" s="169">
        <f>'Data Sheet'!I27/'Data Sheet'!I$18</f>
        <v>1.1432150967034689E-2</v>
      </c>
      <c r="K16" s="169">
        <f>'Data Sheet'!J27/'Data Sheet'!J$18</f>
        <v>1.146288209606987E-2</v>
      </c>
      <c r="L16" s="169">
        <f>'Data Sheet'!K27/'Data Sheet'!K$18</f>
        <v>9.4309462915601015E-3</v>
      </c>
    </row>
    <row r="17" spans="2:12" x14ac:dyDescent="0.2">
      <c r="B17" t="str">
        <f>'Data Sheet'!A28</f>
        <v>Interest </v>
      </c>
      <c r="C17" s="169">
        <f>'Data Sheet'!B28/'Data Sheet'!B$18</f>
        <v>2.845975704386528E-3</v>
      </c>
      <c r="D17" s="169">
        <f>'Data Sheet'!C28/'Data Sheet'!C$18</f>
        <v>3.2829252526555899E-3</v>
      </c>
      <c r="E17" s="169">
        <f>'Data Sheet'!D28/'Data Sheet'!D$18</f>
        <v>2.6564171636704868E-3</v>
      </c>
      <c r="F17" s="169">
        <f>'Data Sheet'!E28/'Data Sheet'!E$18</f>
        <v>7.8852365570967128E-3</v>
      </c>
      <c r="G17" s="169">
        <f>'Data Sheet'!F28/'Data Sheet'!F$18</f>
        <v>9.3790426908150065E-3</v>
      </c>
      <c r="H17" s="169">
        <f>'Data Sheet'!G28/'Data Sheet'!G$18</f>
        <v>7.5697072815028299E-3</v>
      </c>
      <c r="I17" s="169">
        <f>'Data Sheet'!H28/'Data Sheet'!H$18</f>
        <v>7.3937153419593345E-3</v>
      </c>
      <c r="J17" s="169">
        <f>'Data Sheet'!I28/'Data Sheet'!I$18</f>
        <v>1.2117297001017931E-2</v>
      </c>
      <c r="K17" s="169">
        <f>'Data Sheet'!J28/'Data Sheet'!J$18</f>
        <v>1.5763530501521766E-2</v>
      </c>
      <c r="L17" s="169">
        <f>'Data Sheet'!K28/'Data Sheet'!K$18</f>
        <v>1.3472780416514432E-2</v>
      </c>
    </row>
    <row r="18" spans="2:12" x14ac:dyDescent="0.2">
      <c r="B18" t="str">
        <f>'Data Sheet'!A29</f>
        <v>Profit before tax </v>
      </c>
      <c r="C18" s="169">
        <f>'Data Sheet'!B29/'Data Sheet'!B$18</f>
        <v>7.3392841926184102E-2</v>
      </c>
      <c r="D18" s="169">
        <f>'Data Sheet'!C29/'Data Sheet'!C$18</f>
        <v>9.4900857766581026E-2</v>
      </c>
      <c r="E18" s="169">
        <f>'Data Sheet'!D29/'Data Sheet'!D$18</f>
        <v>9.8940163369149972E-2</v>
      </c>
      <c r="F18" s="169">
        <f>'Data Sheet'!E29/'Data Sheet'!E$18</f>
        <v>9.9847995439863196E-2</v>
      </c>
      <c r="G18" s="169">
        <f>'Data Sheet'!F29/'Data Sheet'!F$18</f>
        <v>6.1310293845869522E-2</v>
      </c>
      <c r="H18" s="169">
        <f>'Data Sheet'!G29/'Data Sheet'!G$18</f>
        <v>0.10083683461231292</v>
      </c>
      <c r="I18" s="169">
        <f>'Data Sheet'!H29/'Data Sheet'!H$18</f>
        <v>0.10959950708564387</v>
      </c>
      <c r="J18" s="169">
        <f>'Data Sheet'!I29/'Data Sheet'!I$18</f>
        <v>9.0498003288700959E-2</v>
      </c>
      <c r="K18" s="169">
        <f>'Data Sheet'!J29/'Data Sheet'!J$18</f>
        <v>7.5013232764324464E-2</v>
      </c>
      <c r="L18" s="169">
        <f>'Data Sheet'!K29/'Data Sheet'!K$18</f>
        <v>7.7651169163317504E-2</v>
      </c>
    </row>
    <row r="19" spans="2:12" x14ac:dyDescent="0.2">
      <c r="B19" t="str">
        <f>'Data Sheet'!A30</f>
        <v>Tax </v>
      </c>
      <c r="C19" s="169">
        <f>'Data Sheet'!B30/'Data Sheet'!B$18</f>
        <v>2.0810914550597515E-2</v>
      </c>
      <c r="D19" s="169">
        <f>'Data Sheet'!C30/'Data Sheet'!C$18</f>
        <v>2.6543182688090462E-2</v>
      </c>
      <c r="E19" s="169">
        <f>'Data Sheet'!D30/'Data Sheet'!D$18</f>
        <v>2.8730157767113008E-2</v>
      </c>
      <c r="F19" s="169">
        <f>'Data Sheet'!E30/'Data Sheet'!E$18</f>
        <v>2.892836785103553E-2</v>
      </c>
      <c r="G19" s="169">
        <f>'Data Sheet'!F30/'Data Sheet'!F$18</f>
        <v>1.6309369802254666E-2</v>
      </c>
      <c r="H19" s="169">
        <f>'Data Sheet'!G30/'Data Sheet'!G$18</f>
        <v>2.4514740095142193E-2</v>
      </c>
      <c r="I19" s="169">
        <f>'Data Sheet'!H30/'Data Sheet'!H$18</f>
        <v>2.8909426987060997E-2</v>
      </c>
      <c r="J19" s="169">
        <f>'Data Sheet'!I30/'Data Sheet'!I$18</f>
        <v>2.2061702294260434E-2</v>
      </c>
      <c r="K19" s="169">
        <f>'Data Sheet'!J30/'Data Sheet'!J$18</f>
        <v>1.9816064575889903E-2</v>
      </c>
      <c r="L19" s="169">
        <f>'Data Sheet'!K30/'Data Sheet'!K$18</f>
        <v>1.9729630982827914E-2</v>
      </c>
    </row>
    <row r="20" spans="2:12" x14ac:dyDescent="0.2">
      <c r="B20" t="str">
        <f>'Data Sheet'!A31</f>
        <v>Net profit </v>
      </c>
      <c r="C20" s="169">
        <f>'Data Sheet'!B31/'Data Sheet'!B$18</f>
        <v>5.3651996142021277E-2</v>
      </c>
      <c r="D20" s="169">
        <f>'Data Sheet'!C31/'Data Sheet'!C$18</f>
        <v>7.010583897909213E-2</v>
      </c>
      <c r="E20" s="169">
        <f>'Data Sheet'!D31/'Data Sheet'!D$18</f>
        <v>7.0993684057249984E-2</v>
      </c>
      <c r="F20" s="169">
        <f>'Data Sheet'!E31/'Data Sheet'!E$18</f>
        <v>7.1299638989169675E-2</v>
      </c>
      <c r="G20" s="169">
        <f>'Data Sheet'!F31/'Data Sheet'!F$18</f>
        <v>4.495472186287193E-2</v>
      </c>
      <c r="H20" s="169">
        <f>'Data Sheet'!G31/'Data Sheet'!G$18</f>
        <v>7.5454008819750687E-2</v>
      </c>
      <c r="I20" s="169">
        <f>'Data Sheet'!H31/'Data Sheet'!H$18</f>
        <v>8.0098582871226121E-2</v>
      </c>
      <c r="J20" s="169">
        <f>'Data Sheet'!I31/'Data Sheet'!I$18</f>
        <v>6.8436300994440535E-2</v>
      </c>
      <c r="K20" s="169">
        <f>'Data Sheet'!J31/'Data Sheet'!J$18</f>
        <v>5.5197168188434564E-2</v>
      </c>
      <c r="L20" s="169">
        <f>'Data Sheet'!K31/'Data Sheet'!K$18</f>
        <v>5.792153818048959E-2</v>
      </c>
    </row>
    <row r="21" spans="2:12" x14ac:dyDescent="0.2">
      <c r="B21" t="str">
        <f>'Data Sheet'!A32</f>
        <v>Dividend Amount </v>
      </c>
      <c r="C21" s="169">
        <f>'Data Sheet'!B32/'Data Sheet'!B$18</f>
        <v>1.7406904394370488E-2</v>
      </c>
      <c r="D21" s="169">
        <f>'Data Sheet'!C32/'Data Sheet'!C$18</f>
        <v>2.0652900134431197E-2</v>
      </c>
      <c r="E21" s="169">
        <f>'Data Sheet'!D32/'Data Sheet'!D$18</f>
        <v>2.2443539759294424E-2</v>
      </c>
      <c r="F21" s="169">
        <f>'Data Sheet'!E32/'Data Sheet'!E$18</f>
        <v>1.6910507315219456E-2</v>
      </c>
      <c r="G21" s="169">
        <f>'Data Sheet'!F32/'Data Sheet'!F$18</f>
        <v>1.6447976344483459E-2</v>
      </c>
      <c r="H21" s="169">
        <f>'Data Sheet'!G32/'Data Sheet'!G$18</f>
        <v>2.3177888121115316E-2</v>
      </c>
      <c r="I21" s="169">
        <f>'Data Sheet'!H32/'Data Sheet'!H$18</f>
        <v>2.1934688847812692E-2</v>
      </c>
      <c r="J21" s="169">
        <f>'Data Sheet'!I32/'Data Sheet'!I$18</f>
        <v>1.9164513350559863E-2</v>
      </c>
      <c r="K21" s="169">
        <f>'Data Sheet'!J32/'Data Sheet'!J$18</f>
        <v>1.6193595342066956E-2</v>
      </c>
      <c r="L21" s="169">
        <f>'Data Sheet'!K32/'Data Sheet'!K$18</f>
        <v>1.524251004749726E-2</v>
      </c>
    </row>
    <row r="22" spans="2:12" x14ac:dyDescent="0.2">
      <c r="B22" s="35" t="str">
        <f>'Data Sheet'!A35</f>
        <v>EBITDA </v>
      </c>
      <c r="C22" s="36">
        <f>'Data Sheet'!B35/'Data Sheet'!B$18</f>
        <v>8.7769770067182798E-2</v>
      </c>
      <c r="D22" s="36">
        <f>'Data Sheet'!C35/'Data Sheet'!C$18</f>
        <v>0.10199897393076955</v>
      </c>
      <c r="E22" s="36">
        <f>'Data Sheet'!D35/'Data Sheet'!D$18</f>
        <v>0.10080582369156038</v>
      </c>
      <c r="F22" s="36">
        <f>'Data Sheet'!E35/'Data Sheet'!E$18</f>
        <v>0.1169960098802964</v>
      </c>
      <c r="G22" s="36">
        <f>'Data Sheet'!F35/'Data Sheet'!F$18</f>
        <v>7.9698761781556091E-2</v>
      </c>
      <c r="H22" s="36">
        <f>'Data Sheet'!G35/'Data Sheet'!G$18</f>
        <v>0.11611514288690579</v>
      </c>
      <c r="I22" s="36">
        <f>'Data Sheet'!H35/'Data Sheet'!H$18</f>
        <v>0.12032039433148491</v>
      </c>
      <c r="J22" s="36">
        <f>'Data Sheet'!I35/'Data Sheet'!I$18</f>
        <v>0.10359408033826638</v>
      </c>
      <c r="K22" s="36">
        <f>'Data Sheet'!J35/'Data Sheet'!J$18</f>
        <v>9.4184200079396582E-2</v>
      </c>
      <c r="L22" s="36">
        <f>'Data Sheet'!K35/'Data Sheet'!K$18</f>
        <v>9.5416971136280601E-2</v>
      </c>
    </row>
    <row r="24" spans="2:12" x14ac:dyDescent="0.2">
      <c r="B24" s="275" t="str">
        <f>"Common Size Balance Sheet - "&amp;'Data Sheet'!$B$2</f>
        <v>Common Size Balance Sheet - TITAN COMPANY LTD</v>
      </c>
      <c r="C24" s="275"/>
      <c r="D24" s="275"/>
      <c r="E24" s="275"/>
      <c r="F24" s="275"/>
      <c r="G24" s="275"/>
      <c r="H24" s="275"/>
      <c r="I24" s="275"/>
      <c r="J24" s="275"/>
      <c r="K24" s="275"/>
      <c r="L24" s="275"/>
    </row>
    <row r="26" spans="2:12" x14ac:dyDescent="0.2">
      <c r="B26" s="26" t="s">
        <v>168</v>
      </c>
      <c r="C26" s="167">
        <f>'Data Sheet'!B$17</f>
        <v>42825</v>
      </c>
      <c r="D26" s="167">
        <f>'Data Sheet'!C$17</f>
        <v>43190</v>
      </c>
      <c r="E26" s="167">
        <f>'Data Sheet'!D$17</f>
        <v>43555</v>
      </c>
      <c r="F26" s="167">
        <f>'Data Sheet'!E$17</f>
        <v>43921</v>
      </c>
      <c r="G26" s="167">
        <f>'Data Sheet'!F$17</f>
        <v>44286</v>
      </c>
      <c r="H26" s="167">
        <f>'Data Sheet'!G$17</f>
        <v>44651</v>
      </c>
      <c r="I26" s="167">
        <f>'Data Sheet'!H$17</f>
        <v>45016</v>
      </c>
      <c r="J26" s="167">
        <f>'Data Sheet'!I$17</f>
        <v>45382</v>
      </c>
      <c r="K26" s="167">
        <f>'Data Sheet'!J$17</f>
        <v>45747</v>
      </c>
      <c r="L26" s="167">
        <f>'Data Sheet'!K$17</f>
        <v>46112</v>
      </c>
    </row>
    <row r="27" spans="2:12" x14ac:dyDescent="0.2">
      <c r="B27" s="23"/>
      <c r="C27" s="168"/>
      <c r="D27" s="168"/>
      <c r="E27" s="168"/>
      <c r="F27" s="168"/>
      <c r="G27" s="168"/>
      <c r="H27" s="168"/>
      <c r="I27" s="168"/>
      <c r="J27" s="168"/>
      <c r="K27" s="168"/>
      <c r="L27" s="168"/>
    </row>
    <row r="28" spans="2:12" x14ac:dyDescent="0.2">
      <c r="B28" s="23" t="s">
        <v>170</v>
      </c>
      <c r="C28" s="45">
        <f>'Data Sheet'!B63/'Data Sheet'!B$63</f>
        <v>1</v>
      </c>
      <c r="D28" s="45">
        <f>'Data Sheet'!C63/'Data Sheet'!C$63</f>
        <v>1</v>
      </c>
      <c r="E28" s="45">
        <f>'Data Sheet'!D63/'Data Sheet'!D$63</f>
        <v>1</v>
      </c>
      <c r="F28" s="45">
        <f>'Data Sheet'!E63/'Data Sheet'!E$63</f>
        <v>1</v>
      </c>
      <c r="G28" s="45">
        <f>'Data Sheet'!F63/'Data Sheet'!F$63</f>
        <v>1</v>
      </c>
      <c r="H28" s="45">
        <f>'Data Sheet'!G63/'Data Sheet'!G$63</f>
        <v>1</v>
      </c>
      <c r="I28" s="45">
        <f>'Data Sheet'!H63/'Data Sheet'!H$63</f>
        <v>1</v>
      </c>
      <c r="J28" s="45">
        <f>'Data Sheet'!I63/'Data Sheet'!I$63</f>
        <v>1</v>
      </c>
      <c r="K28" s="45">
        <f>'Data Sheet'!J63/'Data Sheet'!J$63</f>
        <v>1</v>
      </c>
      <c r="L28" s="45">
        <f>'Data Sheet'!K63/'Data Sheet'!K$63</f>
        <v>1</v>
      </c>
    </row>
    <row r="29" spans="2:12" x14ac:dyDescent="0.2">
      <c r="B29" t="str">
        <f>'Data Sheet'!A58</f>
        <v>Equity Share Capital </v>
      </c>
      <c r="C29" s="169">
        <f>'Data Sheet'!B58/'Data Sheet'!B$63</f>
        <v>1.0559531469853953E-2</v>
      </c>
      <c r="D29" s="169">
        <f>'Data Sheet'!C58/'Data Sheet'!C$63</f>
        <v>9.3246115970524214E-3</v>
      </c>
      <c r="E29" s="169">
        <f>'Data Sheet'!D58/'Data Sheet'!D$63</f>
        <v>7.5816578194065846E-3</v>
      </c>
      <c r="F29" s="169">
        <f>'Data Sheet'!E58/'Data Sheet'!E$63</f>
        <v>6.5711754282339043E-3</v>
      </c>
      <c r="G29" s="169">
        <f>'Data Sheet'!F58/'Data Sheet'!F$63</f>
        <v>5.4123084407686692E-3</v>
      </c>
      <c r="H29" s="169">
        <f>'Data Sheet'!G58/'Data Sheet'!G$63</f>
        <v>4.2004908438738912E-3</v>
      </c>
      <c r="I29" s="169">
        <f>'Data Sheet'!H58/'Data Sheet'!H$63</f>
        <v>3.2938564026646928E-3</v>
      </c>
      <c r="J29" s="169">
        <f>'Data Sheet'!I58/'Data Sheet'!I$63</f>
        <v>2.8211874346213586E-3</v>
      </c>
      <c r="K29" s="169">
        <f>'Data Sheet'!J58/'Data Sheet'!J$63</f>
        <v>2.1896912289334483E-3</v>
      </c>
      <c r="L29" s="169">
        <f>'Data Sheet'!K58/'Data Sheet'!K$63</f>
        <v>1.4695926421294232E-3</v>
      </c>
    </row>
    <row r="30" spans="2:12" x14ac:dyDescent="0.2">
      <c r="B30" t="str">
        <f>'Data Sheet'!A59</f>
        <v>Reserves </v>
      </c>
      <c r="C30" s="169">
        <f>'Data Sheet'!B59/'Data Sheet'!B$63</f>
        <v>0.49284157015641861</v>
      </c>
      <c r="D30" s="169">
        <f>'Data Sheet'!C59/'Data Sheet'!C$63</f>
        <v>0.52526824800652028</v>
      </c>
      <c r="E30" s="169">
        <f>'Data Sheet'!D59/'Data Sheet'!D$63</f>
        <v>0.51079861039945895</v>
      </c>
      <c r="F30" s="169">
        <f>'Data Sheet'!E59/'Data Sheet'!E$63</f>
        <v>0.48582398109864144</v>
      </c>
      <c r="G30" s="169">
        <f>'Data Sheet'!F59/'Data Sheet'!F$63</f>
        <v>0.45049866212600342</v>
      </c>
      <c r="H30" s="169">
        <f>'Data Sheet'!G59/'Data Sheet'!G$63</f>
        <v>0.43486879365678688</v>
      </c>
      <c r="I30" s="169">
        <f>'Data Sheet'!H59/'Data Sheet'!H$63</f>
        <v>0.43530717986676537</v>
      </c>
      <c r="J30" s="169">
        <f>'Data Sheet'!I59/'Data Sheet'!I$63</f>
        <v>0.29492503249120361</v>
      </c>
      <c r="K30" s="169">
        <f>'Data Sheet'!J59/'Data Sheet'!J$63</f>
        <v>0.28379874523311599</v>
      </c>
      <c r="L30" s="169">
        <f>'Data Sheet'!K59/'Data Sheet'!K$63</f>
        <v>0.25782269117088558</v>
      </c>
    </row>
    <row r="31" spans="2:12" x14ac:dyDescent="0.2">
      <c r="B31" t="str">
        <f>'Data Sheet'!A60</f>
        <v>Borrowings </v>
      </c>
      <c r="C31" s="169">
        <f>'Data Sheet'!B60/'Data Sheet'!B$63</f>
        <v>0.22389703564763661</v>
      </c>
      <c r="D31" s="169">
        <f>'Data Sheet'!C60/'Data Sheet'!C$63</f>
        <v>0.17760769831867104</v>
      </c>
      <c r="E31" s="169">
        <f>'Data Sheet'!D60/'Data Sheet'!D$63</f>
        <v>0.20435633620954685</v>
      </c>
      <c r="F31" s="169">
        <f>'Data Sheet'!E60/'Data Sheet'!E$63</f>
        <v>0.26299468399291198</v>
      </c>
      <c r="G31" s="169">
        <f>'Data Sheet'!F60/'Data Sheet'!F$63</f>
        <v>0.34286061785453659</v>
      </c>
      <c r="H31" s="169">
        <f>'Data Sheet'!G60/'Data Sheet'!G$63</f>
        <v>0.34335472909193882</v>
      </c>
      <c r="I31" s="169">
        <f>'Data Sheet'!H60/'Data Sheet'!H$63</f>
        <v>0.34666913397483345</v>
      </c>
      <c r="J31" s="169">
        <f>'Data Sheet'!I60/'Data Sheet'!I$63</f>
        <v>0.49221796050337591</v>
      </c>
      <c r="K31" s="169">
        <f>'Data Sheet'!J60/'Data Sheet'!J$63</f>
        <v>0.5111821872309017</v>
      </c>
      <c r="L31" s="169">
        <f>'Data Sheet'!K60/'Data Sheet'!K$63</f>
        <v>0.50562243027691089</v>
      </c>
    </row>
    <row r="32" spans="2:12" x14ac:dyDescent="0.2">
      <c r="B32" t="str">
        <f>'Data Sheet'!A61</f>
        <v>Other Liabilities </v>
      </c>
      <c r="C32" s="169">
        <f>'Data Sheet'!B61/'Data Sheet'!B$63</f>
        <v>0.27270186272609093</v>
      </c>
      <c r="D32" s="169">
        <f>'Data Sheet'!C61/'Data Sheet'!C$63</f>
        <v>0.28779944207775621</v>
      </c>
      <c r="E32" s="169">
        <f>'Data Sheet'!D61/'Data Sheet'!D$63</f>
        <v>0.27726339557158763</v>
      </c>
      <c r="F32" s="169">
        <f>'Data Sheet'!E61/'Data Sheet'!E$63</f>
        <v>0.24461015948021264</v>
      </c>
      <c r="G32" s="169">
        <f>'Data Sheet'!F61/'Data Sheet'!F$63</f>
        <v>0.20122841157869131</v>
      </c>
      <c r="H32" s="169">
        <f>'Data Sheet'!G61/'Data Sheet'!G$63</f>
        <v>0.21757598640740042</v>
      </c>
      <c r="I32" s="169">
        <f>'Data Sheet'!H61/'Data Sheet'!H$63</f>
        <v>0.21472982975573648</v>
      </c>
      <c r="J32" s="169">
        <f>'Data Sheet'!I61/'Data Sheet'!I$63</f>
        <v>0.21003581957079911</v>
      </c>
      <c r="K32" s="169">
        <f>'Data Sheet'!J61/'Data Sheet'!J$63</f>
        <v>0.20282937630704884</v>
      </c>
      <c r="L32" s="169">
        <f>'Data Sheet'!K61/'Data Sheet'!K$63</f>
        <v>0.23508528591007413</v>
      </c>
    </row>
    <row r="34" spans="2:12" x14ac:dyDescent="0.2">
      <c r="B34" s="23" t="s">
        <v>96</v>
      </c>
      <c r="C34" s="170">
        <f>HistoricalFS!C71/HistoricalFS!C$71</f>
        <v>1</v>
      </c>
      <c r="D34" s="170">
        <f>HistoricalFS!D71/HistoricalFS!D$71</f>
        <v>1</v>
      </c>
      <c r="E34" s="170">
        <f>HistoricalFS!E71/HistoricalFS!E$71</f>
        <v>1</v>
      </c>
      <c r="F34" s="170">
        <f>HistoricalFS!F71/HistoricalFS!F$71</f>
        <v>1</v>
      </c>
      <c r="G34" s="170">
        <f>HistoricalFS!G71/HistoricalFS!G$71</f>
        <v>1</v>
      </c>
      <c r="H34" s="170">
        <f>HistoricalFS!H71/HistoricalFS!H$71</f>
        <v>1</v>
      </c>
      <c r="I34" s="170">
        <f>HistoricalFS!I71/HistoricalFS!I$71</f>
        <v>1</v>
      </c>
      <c r="J34" s="170">
        <f>HistoricalFS!J71/HistoricalFS!J$71</f>
        <v>1</v>
      </c>
      <c r="K34" s="170">
        <f>HistoricalFS!K71/HistoricalFS!K$71</f>
        <v>1</v>
      </c>
      <c r="L34" s="170">
        <f>HistoricalFS!L71/HistoricalFS!L$71</f>
        <v>1</v>
      </c>
    </row>
    <row r="35" spans="2:12" x14ac:dyDescent="0.2">
      <c r="B35" t="str">
        <f>'Data Sheet'!A64</f>
        <v>Net Block </v>
      </c>
      <c r="C35" s="171">
        <f>HistoricalFS!C60/HistoricalFS!C$71</f>
        <v>0.14138686921429142</v>
      </c>
      <c r="D35" s="171">
        <f>HistoricalFS!D60/HistoricalFS!D$71</f>
        <v>0.15479506440472887</v>
      </c>
      <c r="E35" s="171">
        <f>HistoricalFS!E60/HistoricalFS!E$71</f>
        <v>0.13378748129778034</v>
      </c>
      <c r="F35" s="171">
        <f>HistoricalFS!F60/HistoricalFS!F$71</f>
        <v>0.19440342587123449</v>
      </c>
      <c r="G35" s="171">
        <f>HistoricalFS!G60/HistoricalFS!G$71</f>
        <v>0.15342982242763317</v>
      </c>
      <c r="H35" s="171">
        <f>HistoricalFS!H60/HistoricalFS!H$71</f>
        <v>0.12006796299792336</v>
      </c>
      <c r="I35" s="171">
        <f>HistoricalFS!I60/HistoricalFS!I$71</f>
        <v>0.11095484826054774</v>
      </c>
      <c r="J35" s="171">
        <f>HistoricalFS!J60/HistoricalFS!J$71</f>
        <v>0.11757060893270359</v>
      </c>
      <c r="K35" s="171">
        <f>HistoricalFS!K60/HistoricalFS!K$71</f>
        <v>9.9938491819411987E-2</v>
      </c>
      <c r="L35" s="171">
        <f>HistoricalFS!L60/HistoricalFS!L$71</f>
        <v>0.11357144036591206</v>
      </c>
    </row>
    <row r="36" spans="2:12" x14ac:dyDescent="0.2">
      <c r="B36" t="str">
        <f>'Data Sheet'!A65</f>
        <v>Capital Work in Progress </v>
      </c>
      <c r="C36" s="171">
        <f>HistoricalFS!C61/HistoricalFS!C$71</f>
        <v>1.8087271351888833E-2</v>
      </c>
      <c r="D36" s="171">
        <f>HistoricalFS!D61/HistoricalFS!D$71</f>
        <v>4.5551746447867036E-3</v>
      </c>
      <c r="E36" s="171">
        <f>HistoricalFS!E61/HistoricalFS!E$71</f>
        <v>2.7131028263409234E-3</v>
      </c>
      <c r="F36" s="171">
        <f>HistoricalFS!F61/HistoricalFS!F$71</f>
        <v>1.3290017720023627E-3</v>
      </c>
      <c r="G36" s="171">
        <f>HistoricalFS!G61/HistoricalFS!G$71</f>
        <v>1.9459985405010946E-3</v>
      </c>
      <c r="H36" s="171">
        <f>HistoricalFS!H61/HistoricalFS!H$71</f>
        <v>4.0117047385312445E-3</v>
      </c>
      <c r="I36" s="171">
        <f>HistoricalFS!I61/HistoricalFS!I$71</f>
        <v>5.329385640266469E-3</v>
      </c>
      <c r="J36" s="171">
        <f>HistoricalFS!J61/HistoricalFS!J$71</f>
        <v>3.0747773163850764E-3</v>
      </c>
      <c r="K36" s="171">
        <f>HistoricalFS!K61/HistoricalFS!K$71</f>
        <v>2.5833435846967646E-3</v>
      </c>
      <c r="L36" s="171">
        <f>HistoricalFS!L61/HistoricalFS!L$71</f>
        <v>2.691501131090966E-3</v>
      </c>
    </row>
    <row r="37" spans="2:12" x14ac:dyDescent="0.2">
      <c r="B37" t="str">
        <f>'Data Sheet'!A66</f>
        <v>Investments </v>
      </c>
      <c r="C37" s="171">
        <f>HistoricalFS!C62/HistoricalFS!C$71</f>
        <v>5.1231211872158074E-2</v>
      </c>
      <c r="D37" s="171">
        <f>HistoricalFS!D62/HistoricalFS!D$71</f>
        <v>3.7800492383185027E-3</v>
      </c>
      <c r="E37" s="171">
        <f>HistoricalFS!E62/HistoricalFS!E$71</f>
        <v>9.2588797114221879E-3</v>
      </c>
      <c r="F37" s="171">
        <f>HistoricalFS!F62/HistoricalFS!F$71</f>
        <v>1.1665682220909628E-2</v>
      </c>
      <c r="G37" s="171">
        <f>HistoricalFS!G62/HistoricalFS!G$71</f>
        <v>0.17173437119922161</v>
      </c>
      <c r="H37" s="171">
        <f>HistoricalFS!H62/HistoricalFS!H$71</f>
        <v>1.3875778742684539E-2</v>
      </c>
      <c r="I37" s="171">
        <f>HistoricalFS!I62/HistoricalFS!I$71</f>
        <v>9.3079200592153966E-2</v>
      </c>
      <c r="J37" s="171">
        <f>HistoricalFS!J62/HistoricalFS!J$71</f>
        <v>7.4333534091989728E-2</v>
      </c>
      <c r="K37" s="171">
        <f>HistoricalFS!K62/HistoricalFS!K$71</f>
        <v>4.8911305203592076E-2</v>
      </c>
      <c r="L37" s="171">
        <f>HistoricalFS!L62/HistoricalFS!L$71</f>
        <v>5.7892042733772561E-2</v>
      </c>
    </row>
    <row r="38" spans="2:12" x14ac:dyDescent="0.2">
      <c r="B38" t="str">
        <f>'Data Sheet'!A67</f>
        <v>Other Assets </v>
      </c>
      <c r="C38" s="171">
        <f>HistoricalFS!C63/HistoricalFS!C$71</f>
        <v>8.6086705195436944E-2</v>
      </c>
      <c r="D38" s="171">
        <f>HistoricalFS!D63/HistoricalFS!D$71</f>
        <v>0.11862464604707051</v>
      </c>
      <c r="E38" s="171">
        <f>HistoricalFS!E63/HistoricalFS!E$71</f>
        <v>0.12615629248563603</v>
      </c>
      <c r="F38" s="171">
        <f>HistoricalFS!F63/HistoricalFS!F$71</f>
        <v>0.14316302421736563</v>
      </c>
      <c r="G38" s="171">
        <f>HistoricalFS!G63/HistoricalFS!G$71</f>
        <v>0.10526635855023109</v>
      </c>
      <c r="H38" s="171">
        <f>HistoricalFS!H63/HistoricalFS!H$71</f>
        <v>0.11884085331319615</v>
      </c>
      <c r="I38" s="171">
        <f>HistoricalFS!I63/HistoricalFS!I$71</f>
        <v>0.10222057735011103</v>
      </c>
      <c r="J38" s="171">
        <f>HistoricalFS!J63/HistoricalFS!J$71</f>
        <v>0.12048689257298634</v>
      </c>
      <c r="K38" s="171">
        <f>HistoricalFS!K63/HistoricalFS!K$71</f>
        <v>8.990035674744741E-2</v>
      </c>
      <c r="L38" s="171">
        <f>HistoricalFS!L63/HistoricalFS!L$71</f>
        <v>7.3281484783936854E-2</v>
      </c>
    </row>
    <row r="39" spans="2:12" x14ac:dyDescent="0.2">
      <c r="B39" t="str">
        <f>'Data Sheet'!A69</f>
        <v>Receivables </v>
      </c>
      <c r="C39" s="169">
        <f>HistoricalFS!C66/HistoricalFS!C$71</f>
        <v>2.4692033488867771E-2</v>
      </c>
      <c r="D39" s="169">
        <f>HistoricalFS!D66/HistoricalFS!D$71</f>
        <v>3.105648122474015E-2</v>
      </c>
      <c r="E39" s="169">
        <f>HistoricalFS!E66/HistoricalFS!E$71</f>
        <v>3.5905699821688425E-2</v>
      </c>
      <c r="F39" s="169">
        <f>HistoricalFS!F66/HistoricalFS!F$71</f>
        <v>2.3036030714707618E-2</v>
      </c>
      <c r="G39" s="169">
        <f>HistoricalFS!G66/HistoricalFS!G$71</f>
        <v>2.2257358306981268E-2</v>
      </c>
      <c r="H39" s="169">
        <f>HistoricalFS!H66/HistoricalFS!H$71</f>
        <v>2.6666037379648858E-2</v>
      </c>
      <c r="I39" s="169">
        <f>HistoricalFS!I66/HistoricalFS!I$71</f>
        <v>2.4944485566247225E-2</v>
      </c>
      <c r="J39" s="169">
        <f>HistoricalFS!J66/HistoricalFS!J$71</f>
        <v>3.2269312454433069E-2</v>
      </c>
      <c r="K39" s="169">
        <f>HistoricalFS!K66/HistoricalFS!K$71</f>
        <v>2.6276294747201379E-2</v>
      </c>
      <c r="L39" s="169">
        <f>HistoricalFS!L66/HistoricalFS!L$71</f>
        <v>1.5125245620118558E-2</v>
      </c>
    </row>
    <row r="40" spans="2:12" x14ac:dyDescent="0.2">
      <c r="B40" t="str">
        <f>'Data Sheet'!A70</f>
        <v>Inventory </v>
      </c>
      <c r="C40" s="169">
        <f>HistoricalFS!C67/HistoricalFS!C$71</f>
        <v>0.58586963890874533</v>
      </c>
      <c r="D40" s="169">
        <f>HistoricalFS!D67/HistoricalFS!D$71</f>
        <v>0.62228916168821891</v>
      </c>
      <c r="E40" s="169">
        <f>HistoricalFS!E67/HistoricalFS!E$71</f>
        <v>0.60110300396931127</v>
      </c>
      <c r="F40" s="169">
        <f>HistoricalFS!F67/HistoricalFS!F$71</f>
        <v>0.59827229769639689</v>
      </c>
      <c r="G40" s="169">
        <f>HistoricalFS!G67/HistoricalFS!G$71</f>
        <v>0.51131111651666261</v>
      </c>
      <c r="H40" s="169">
        <f>HistoricalFS!H67/HistoricalFS!H$71</f>
        <v>0.64229752690202002</v>
      </c>
      <c r="I40" s="169">
        <f>HistoricalFS!I67/HistoricalFS!I$71</f>
        <v>0.61376757957068839</v>
      </c>
      <c r="J40" s="169">
        <f>HistoricalFS!J67/HistoricalFS!J$71</f>
        <v>0.60389260468507311</v>
      </c>
      <c r="K40" s="169">
        <f>HistoricalFS!K67/HistoricalFS!K$71</f>
        <v>0.69341862467708204</v>
      </c>
      <c r="L40" s="169">
        <f>HistoricalFS!L67/HistoricalFS!L$71</f>
        <v>0.70578425059031391</v>
      </c>
    </row>
    <row r="41" spans="2:12" x14ac:dyDescent="0.2">
      <c r="B41" s="35" t="str">
        <f>'Data Sheet'!A71</f>
        <v>Cash &amp; Bank </v>
      </c>
      <c r="C41" s="36">
        <f>HistoricalFS!C68/HistoricalFS!C$71</f>
        <v>9.2646269968611611E-2</v>
      </c>
      <c r="D41" s="36">
        <f>HistoricalFS!D68/HistoricalFS!D$71</f>
        <v>6.489942275213631E-2</v>
      </c>
      <c r="E41" s="36">
        <f>HistoricalFS!E68/HistoricalFS!E$71</f>
        <v>9.1075539887820842E-2</v>
      </c>
      <c r="F41" s="36">
        <f>HistoricalFS!F68/HistoricalFS!F$71</f>
        <v>2.8130537507383344E-2</v>
      </c>
      <c r="G41" s="36">
        <f>HistoricalFS!G68/HistoricalFS!G$71</f>
        <v>3.4054974458769156E-2</v>
      </c>
      <c r="H41" s="36">
        <f>HistoricalFS!H68/HistoricalFS!H$71</f>
        <v>7.4240135925995848E-2</v>
      </c>
      <c r="I41" s="36">
        <f>HistoricalFS!I68/HistoricalFS!I$71</f>
        <v>4.9703923019985198E-2</v>
      </c>
      <c r="J41" s="36">
        <f>HistoricalFS!J68/HistoricalFS!J$71</f>
        <v>4.8372269946429139E-2</v>
      </c>
      <c r="K41" s="36">
        <f>HistoricalFS!K68/HistoricalFS!K$71</f>
        <v>3.8971583220568339E-2</v>
      </c>
      <c r="L41" s="36">
        <f>HistoricalFS!L68/HistoricalFS!L$71</f>
        <v>3.1654034774855108E-2</v>
      </c>
    </row>
  </sheetData>
  <sheetProtection sheet="1" objects="1" scenarios="1"/>
  <mergeCells count="2">
    <mergeCell ref="B3:L3"/>
    <mergeCell ref="B24:L24"/>
  </mergeCells>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3F3F9-A74A-4647-944C-9D9F4682C230}">
  <dimension ref="A2:H61"/>
  <sheetViews>
    <sheetView showGridLines="0" zoomScale="193" workbookViewId="0">
      <pane ySplit="4" topLeftCell="A5" activePane="bottomLeft" state="frozen"/>
      <selection pane="bottomLeft" activeCell="J26" sqref="J26"/>
    </sheetView>
  </sheetViews>
  <sheetFormatPr baseColWidth="10" defaultRowHeight="15" x14ac:dyDescent="0.2"/>
  <cols>
    <col min="1" max="1" width="2" customWidth="1"/>
    <col min="2" max="2" width="22.6640625" customWidth="1"/>
    <col min="3" max="3" width="1" customWidth="1"/>
  </cols>
  <sheetData>
    <row r="2" spans="2:8" x14ac:dyDescent="0.2">
      <c r="B2" s="268" t="str">
        <f>'Data Sheet'!B2&amp;" - Dupont Analysis"</f>
        <v>TITAN COMPANY LTD - Dupont Analysis</v>
      </c>
      <c r="C2" s="268"/>
      <c r="D2" s="268"/>
      <c r="E2" s="268"/>
      <c r="F2" s="268"/>
      <c r="G2" s="268"/>
      <c r="H2" s="268"/>
    </row>
    <row r="3" spans="2:8" ht="4" customHeight="1" x14ac:dyDescent="0.2">
      <c r="B3" s="183"/>
      <c r="C3" s="183"/>
      <c r="D3" s="183"/>
      <c r="E3" s="183"/>
      <c r="F3" s="183"/>
      <c r="G3" s="183"/>
      <c r="H3" s="183"/>
    </row>
    <row r="4" spans="2:8" x14ac:dyDescent="0.2">
      <c r="B4" s="183"/>
      <c r="C4" s="183"/>
      <c r="D4" s="199">
        <f>HistoricalFS!H3</f>
        <v>44651</v>
      </c>
      <c r="E4" s="199">
        <f>HistoricalFS!I3</f>
        <v>45016</v>
      </c>
      <c r="F4" s="199">
        <f>HistoricalFS!J3</f>
        <v>45382</v>
      </c>
      <c r="G4" s="199">
        <f>HistoricalFS!K3</f>
        <v>45747</v>
      </c>
      <c r="H4" s="199">
        <f>HistoricalFS!L3</f>
        <v>46112</v>
      </c>
    </row>
    <row r="5" spans="2:8" ht="8" customHeight="1" x14ac:dyDescent="0.2"/>
    <row r="6" spans="2:8" x14ac:dyDescent="0.2">
      <c r="B6" s="202" t="s">
        <v>1307</v>
      </c>
      <c r="C6" s="203"/>
      <c r="D6" s="203"/>
      <c r="E6" s="203"/>
      <c r="F6" s="203"/>
      <c r="G6" s="203"/>
      <c r="H6" s="203"/>
    </row>
    <row r="8" spans="2:8" x14ac:dyDescent="0.2">
      <c r="B8" s="201"/>
      <c r="C8" s="201"/>
      <c r="D8" s="276"/>
      <c r="E8" s="276"/>
      <c r="F8" s="276"/>
      <c r="G8" s="270"/>
      <c r="H8" s="270"/>
    </row>
    <row r="26" spans="1:8" x14ac:dyDescent="0.2">
      <c r="A26" t="s">
        <v>67</v>
      </c>
      <c r="B26" s="110" t="s">
        <v>1294</v>
      </c>
      <c r="C26" s="110"/>
      <c r="D26" s="110"/>
      <c r="E26" s="110"/>
      <c r="F26" s="110"/>
      <c r="G26" s="110"/>
      <c r="H26" s="110"/>
    </row>
    <row r="27" spans="1:8" x14ac:dyDescent="0.2">
      <c r="B27" t="s">
        <v>83</v>
      </c>
      <c r="D27" s="41">
        <f>HistoricalFS!H39</f>
        <v>2198</v>
      </c>
      <c r="E27" s="41">
        <f>HistoricalFS!I39</f>
        <v>3274</v>
      </c>
      <c r="F27" s="41">
        <f>HistoricalFS!J39</f>
        <v>3496</v>
      </c>
      <c r="G27" s="41">
        <f>HistoricalFS!K39</f>
        <v>3337</v>
      </c>
      <c r="H27" s="41">
        <f>HistoricalFS!L39</f>
        <v>5073</v>
      </c>
    </row>
    <row r="28" spans="1:8" x14ac:dyDescent="0.2">
      <c r="B28" t="s">
        <v>1295</v>
      </c>
      <c r="D28" s="41">
        <f>(SUM(HistoricalFS!H54:H55)+SUM(HistoricalFS!G54:G55))/2</f>
        <v>8400</v>
      </c>
      <c r="E28" s="41">
        <f>(SUM(HistoricalFS!I54:I55)+SUM(HistoricalFS!H54:H55))/2</f>
        <v>10577</v>
      </c>
      <c r="F28" s="41">
        <f>(SUM(HistoricalFS!J54:J55)+SUM(HistoricalFS!I54:I55))/2</f>
        <v>10622</v>
      </c>
      <c r="G28" s="41">
        <f>(SUM(HistoricalFS!K54:K55)+SUM(HistoricalFS!J54:J55))/2</f>
        <v>10508.5</v>
      </c>
      <c r="H28" s="41">
        <f>(SUM(HistoricalFS!L54:L55)+SUM(HistoricalFS!K54:K55))/2</f>
        <v>13663.5</v>
      </c>
    </row>
    <row r="29" spans="1:8" ht="16" thickBot="1" x14ac:dyDescent="0.25">
      <c r="B29" s="94" t="s">
        <v>1294</v>
      </c>
      <c r="C29" s="94"/>
      <c r="D29" s="103">
        <f>D27/D28</f>
        <v>0.26166666666666666</v>
      </c>
      <c r="E29" s="103">
        <f t="shared" ref="E29:H29" si="0">E27/E28</f>
        <v>0.30953956698496737</v>
      </c>
      <c r="F29" s="103">
        <f t="shared" si="0"/>
        <v>0.32912822443984185</v>
      </c>
      <c r="G29" s="103">
        <f t="shared" si="0"/>
        <v>0.31755245753437694</v>
      </c>
      <c r="H29" s="103">
        <f t="shared" si="0"/>
        <v>0.37128115051048416</v>
      </c>
    </row>
    <row r="31" spans="1:8" x14ac:dyDescent="0.2">
      <c r="A31" t="s">
        <v>67</v>
      </c>
      <c r="B31" s="110" t="s">
        <v>1296</v>
      </c>
      <c r="C31" s="110"/>
      <c r="D31" s="110"/>
      <c r="E31" s="110"/>
      <c r="F31" s="110"/>
      <c r="G31" s="110"/>
      <c r="H31" s="110"/>
    </row>
    <row r="32" spans="1:8" x14ac:dyDescent="0.2">
      <c r="B32" s="197" t="str">
        <f>B27</f>
        <v>Net Profit</v>
      </c>
      <c r="C32" s="197"/>
      <c r="D32" s="41">
        <f t="shared" ref="D32:H32" si="1">D27</f>
        <v>2198</v>
      </c>
      <c r="E32" s="41">
        <f t="shared" si="1"/>
        <v>3274</v>
      </c>
      <c r="F32" s="41">
        <f t="shared" si="1"/>
        <v>3496</v>
      </c>
      <c r="G32" s="41">
        <f t="shared" si="1"/>
        <v>3337</v>
      </c>
      <c r="H32" s="41">
        <f t="shared" si="1"/>
        <v>5073</v>
      </c>
    </row>
    <row r="33" spans="1:8" x14ac:dyDescent="0.2">
      <c r="B33" s="197" t="s">
        <v>360</v>
      </c>
      <c r="C33" s="197"/>
      <c r="D33" s="41">
        <f>HistoricalFS!H6</f>
        <v>28799</v>
      </c>
      <c r="E33" s="41">
        <f>HistoricalFS!I6</f>
        <v>40575</v>
      </c>
      <c r="F33" s="41">
        <f>HistoricalFS!J6</f>
        <v>51084</v>
      </c>
      <c r="G33" s="41">
        <f>HistoricalFS!K6</f>
        <v>60456</v>
      </c>
      <c r="H33" s="41">
        <f>HistoricalFS!L6</f>
        <v>87584</v>
      </c>
    </row>
    <row r="34" spans="1:8" x14ac:dyDescent="0.2">
      <c r="B34" s="198" t="s">
        <v>1297</v>
      </c>
      <c r="C34" s="198"/>
      <c r="D34" s="196">
        <f>D32/D33</f>
        <v>7.632209451717073E-2</v>
      </c>
      <c r="E34" s="196">
        <f t="shared" ref="E34:H34" si="2">E32/E33</f>
        <v>8.0690080098582875E-2</v>
      </c>
      <c r="F34" s="196">
        <f t="shared" si="2"/>
        <v>6.8436300994440535E-2</v>
      </c>
      <c r="G34" s="196">
        <f t="shared" si="2"/>
        <v>5.5197168188434564E-2</v>
      </c>
      <c r="H34" s="196">
        <f t="shared" si="2"/>
        <v>5.792153818048959E-2</v>
      </c>
    </row>
    <row r="36" spans="1:8" x14ac:dyDescent="0.2">
      <c r="B36" s="197" t="s">
        <v>360</v>
      </c>
      <c r="C36" s="197"/>
      <c r="D36" s="41">
        <f>D33</f>
        <v>28799</v>
      </c>
      <c r="E36" s="41">
        <f t="shared" ref="E36:H36" si="3">E33</f>
        <v>40575</v>
      </c>
      <c r="F36" s="41">
        <f t="shared" si="3"/>
        <v>51084</v>
      </c>
      <c r="G36" s="41">
        <f t="shared" si="3"/>
        <v>60456</v>
      </c>
      <c r="H36" s="41">
        <f t="shared" si="3"/>
        <v>87584</v>
      </c>
    </row>
    <row r="37" spans="1:8" x14ac:dyDescent="0.2">
      <c r="B37" s="197" t="s">
        <v>1298</v>
      </c>
      <c r="C37" s="197"/>
      <c r="D37" s="41">
        <f>(HistoricalFS!H71+HistoricalFS!G71)/2</f>
        <v>18816</v>
      </c>
      <c r="E37" s="41">
        <f>(HistoricalFS!I71+HistoricalFS!H71)/2</f>
        <v>24104</v>
      </c>
      <c r="F37" s="41">
        <f>(HistoricalFS!J71+HistoricalFS!I71)/2</f>
        <v>29283.5</v>
      </c>
      <c r="G37" s="41">
        <f>(HistoricalFS!K71+HistoricalFS!J71)/2</f>
        <v>36096</v>
      </c>
      <c r="H37" s="41">
        <f>(HistoricalFS!L71+HistoricalFS!K71)/2</f>
        <v>50603</v>
      </c>
    </row>
    <row r="38" spans="1:8" x14ac:dyDescent="0.2">
      <c r="B38" s="198" t="s">
        <v>1299</v>
      </c>
      <c r="C38" s="198"/>
      <c r="D38" s="163">
        <f>D36/D37</f>
        <v>1.5305590986394557</v>
      </c>
      <c r="E38" s="163">
        <f t="shared" ref="E38:H38" si="4">E36/E37</f>
        <v>1.6833305675406571</v>
      </c>
      <c r="F38" s="163">
        <f t="shared" si="4"/>
        <v>1.7444636057848277</v>
      </c>
      <c r="G38" s="163">
        <f t="shared" si="4"/>
        <v>1.6748670212765957</v>
      </c>
      <c r="H38" s="163">
        <f t="shared" si="4"/>
        <v>1.7308064739244708</v>
      </c>
    </row>
    <row r="40" spans="1:8" x14ac:dyDescent="0.2">
      <c r="B40" s="197" t="str">
        <f>B37</f>
        <v>Average Total Assets</v>
      </c>
      <c r="C40" s="197"/>
      <c r="D40" s="41">
        <f>D37</f>
        <v>18816</v>
      </c>
      <c r="E40" s="41">
        <f t="shared" ref="E40:H40" si="5">E37</f>
        <v>24104</v>
      </c>
      <c r="F40" s="41">
        <f t="shared" si="5"/>
        <v>29283.5</v>
      </c>
      <c r="G40" s="41">
        <f t="shared" si="5"/>
        <v>36096</v>
      </c>
      <c r="H40" s="41">
        <f t="shared" si="5"/>
        <v>50603</v>
      </c>
    </row>
    <row r="41" spans="1:8" x14ac:dyDescent="0.2">
      <c r="B41" s="197" t="str">
        <f>B28</f>
        <v>Average Shareholder Equity</v>
      </c>
      <c r="C41" s="197"/>
      <c r="D41" s="41">
        <f>D28</f>
        <v>8400</v>
      </c>
      <c r="E41" s="41">
        <f t="shared" ref="E41:H41" si="6">E28</f>
        <v>10577</v>
      </c>
      <c r="F41" s="41">
        <f t="shared" si="6"/>
        <v>10622</v>
      </c>
      <c r="G41" s="41">
        <f t="shared" si="6"/>
        <v>10508.5</v>
      </c>
      <c r="H41" s="41">
        <f t="shared" si="6"/>
        <v>13663.5</v>
      </c>
    </row>
    <row r="42" spans="1:8" x14ac:dyDescent="0.2">
      <c r="B42" s="198" t="s">
        <v>1300</v>
      </c>
      <c r="C42" s="198"/>
      <c r="D42" s="163">
        <f>D40/D41</f>
        <v>2.2400000000000002</v>
      </c>
      <c r="E42" s="163">
        <f t="shared" ref="E42" si="7">E40/E41</f>
        <v>2.278907062494091</v>
      </c>
      <c r="F42" s="163">
        <f t="shared" ref="F42" si="8">F40/F41</f>
        <v>2.7568725287139899</v>
      </c>
      <c r="G42" s="163">
        <f t="shared" ref="G42" si="9">G40/G41</f>
        <v>3.4349336251605842</v>
      </c>
      <c r="H42" s="163">
        <f t="shared" ref="H42" si="10">H40/H41</f>
        <v>3.7035166684963587</v>
      </c>
    </row>
    <row r="44" spans="1:8" ht="16" thickBot="1" x14ac:dyDescent="0.25">
      <c r="B44" s="200" t="s">
        <v>1301</v>
      </c>
      <c r="C44" s="200"/>
      <c r="D44" s="103">
        <f>D34*D38*D42</f>
        <v>0.26166666666666666</v>
      </c>
      <c r="E44" s="103">
        <f t="shared" ref="E44:H44" si="11">E34*E38*E42</f>
        <v>0.30953956698496743</v>
      </c>
      <c r="F44" s="103">
        <f t="shared" si="11"/>
        <v>0.32912822443984191</v>
      </c>
      <c r="G44" s="103">
        <f t="shared" si="11"/>
        <v>0.31755245753437694</v>
      </c>
      <c r="H44" s="103">
        <f t="shared" si="11"/>
        <v>0.37128115051048416</v>
      </c>
    </row>
    <row r="46" spans="1:8" x14ac:dyDescent="0.2">
      <c r="A46" t="s">
        <v>67</v>
      </c>
      <c r="B46" s="110" t="s">
        <v>1302</v>
      </c>
      <c r="C46" s="110"/>
      <c r="D46" s="110"/>
      <c r="E46" s="110"/>
      <c r="F46" s="110"/>
      <c r="G46" s="110"/>
      <c r="H46" s="110"/>
    </row>
    <row r="48" spans="1:8" x14ac:dyDescent="0.2">
      <c r="B48" s="21" t="str">
        <f>B32</f>
        <v>Net Profit</v>
      </c>
      <c r="C48" s="21"/>
      <c r="D48" s="113">
        <f>D32</f>
        <v>2198</v>
      </c>
      <c r="E48" s="113">
        <f t="shared" ref="E48:H48" si="12">E32</f>
        <v>3274</v>
      </c>
      <c r="F48" s="113">
        <f t="shared" si="12"/>
        <v>3496</v>
      </c>
      <c r="G48" s="113">
        <f t="shared" si="12"/>
        <v>3337</v>
      </c>
      <c r="H48" s="113">
        <f t="shared" si="12"/>
        <v>5073</v>
      </c>
    </row>
    <row r="49" spans="1:8" x14ac:dyDescent="0.2">
      <c r="B49" s="21" t="str">
        <f>B37</f>
        <v>Average Total Assets</v>
      </c>
      <c r="C49" s="21"/>
      <c r="D49" s="113">
        <f>D37</f>
        <v>18816</v>
      </c>
      <c r="E49" s="113">
        <f t="shared" ref="E49:H49" si="13">E37</f>
        <v>24104</v>
      </c>
      <c r="F49" s="113">
        <f t="shared" si="13"/>
        <v>29283.5</v>
      </c>
      <c r="G49" s="113">
        <f t="shared" si="13"/>
        <v>36096</v>
      </c>
      <c r="H49" s="113">
        <f t="shared" si="13"/>
        <v>50603</v>
      </c>
    </row>
    <row r="50" spans="1:8" ht="16" thickBot="1" x14ac:dyDescent="0.25">
      <c r="B50" s="94" t="s">
        <v>1303</v>
      </c>
      <c r="C50" s="94"/>
      <c r="D50" s="103">
        <f>D48/D49</f>
        <v>0.11681547619047619</v>
      </c>
      <c r="E50" s="103">
        <f t="shared" ref="E50:H50" si="14">E48/E49</f>
        <v>0.13582807832724858</v>
      </c>
      <c r="F50" s="103">
        <f t="shared" si="14"/>
        <v>0.11938463639933751</v>
      </c>
      <c r="G50" s="103">
        <f t="shared" si="14"/>
        <v>9.2447916666666671E-2</v>
      </c>
      <c r="H50" s="103">
        <f t="shared" si="14"/>
        <v>0.1002509732624548</v>
      </c>
    </row>
    <row r="52" spans="1:8" x14ac:dyDescent="0.2">
      <c r="A52" t="s">
        <v>67</v>
      </c>
      <c r="B52" s="110" t="s">
        <v>1304</v>
      </c>
      <c r="C52" s="110"/>
      <c r="D52" s="110"/>
      <c r="E52" s="110"/>
      <c r="F52" s="110"/>
      <c r="G52" s="110"/>
      <c r="H52" s="110"/>
    </row>
    <row r="53" spans="1:8" x14ac:dyDescent="0.2">
      <c r="B53" s="21" t="str">
        <f>B32</f>
        <v>Net Profit</v>
      </c>
      <c r="C53" s="21"/>
      <c r="D53" s="113">
        <f>D32</f>
        <v>2198</v>
      </c>
      <c r="E53" s="113">
        <f t="shared" ref="E53:H53" si="15">E32</f>
        <v>3274</v>
      </c>
      <c r="F53" s="113">
        <f t="shared" si="15"/>
        <v>3496</v>
      </c>
      <c r="G53" s="113">
        <f t="shared" si="15"/>
        <v>3337</v>
      </c>
      <c r="H53" s="113">
        <f t="shared" si="15"/>
        <v>5073</v>
      </c>
    </row>
    <row r="54" spans="1:8" x14ac:dyDescent="0.2">
      <c r="B54" s="21" t="str">
        <f t="shared" ref="B54:D55" si="16">B33</f>
        <v>Revenue</v>
      </c>
      <c r="C54" s="21"/>
      <c r="D54" s="113">
        <f t="shared" si="16"/>
        <v>28799</v>
      </c>
      <c r="E54" s="113">
        <f t="shared" ref="E54:H54" si="17">E33</f>
        <v>40575</v>
      </c>
      <c r="F54" s="113">
        <f t="shared" si="17"/>
        <v>51084</v>
      </c>
      <c r="G54" s="113">
        <f t="shared" si="17"/>
        <v>60456</v>
      </c>
      <c r="H54" s="113">
        <f t="shared" si="17"/>
        <v>87584</v>
      </c>
    </row>
    <row r="55" spans="1:8" x14ac:dyDescent="0.2">
      <c r="B55" s="168" t="str">
        <f t="shared" si="16"/>
        <v>Net Profit Margin (A)</v>
      </c>
      <c r="C55" s="168"/>
      <c r="D55" s="196">
        <f t="shared" si="16"/>
        <v>7.632209451717073E-2</v>
      </c>
      <c r="E55" s="196">
        <f t="shared" ref="E55:H55" si="18">E34</f>
        <v>8.0690080098582875E-2</v>
      </c>
      <c r="F55" s="196">
        <f t="shared" si="18"/>
        <v>6.8436300994440535E-2</v>
      </c>
      <c r="G55" s="196">
        <f t="shared" si="18"/>
        <v>5.5197168188434564E-2</v>
      </c>
      <c r="H55" s="196">
        <f t="shared" si="18"/>
        <v>5.792153818048959E-2</v>
      </c>
    </row>
    <row r="56" spans="1:8" x14ac:dyDescent="0.2">
      <c r="B56" s="168"/>
      <c r="C56" s="168"/>
    </row>
    <row r="57" spans="1:8" x14ac:dyDescent="0.2">
      <c r="B57" s="21" t="str">
        <f t="shared" ref="B57" si="19">B36</f>
        <v>Revenue</v>
      </c>
      <c r="C57" s="21"/>
      <c r="D57" s="113">
        <f>D36</f>
        <v>28799</v>
      </c>
      <c r="E57" s="113">
        <f t="shared" ref="E57:H57" si="20">E36</f>
        <v>40575</v>
      </c>
      <c r="F57" s="113">
        <f t="shared" si="20"/>
        <v>51084</v>
      </c>
      <c r="G57" s="113">
        <f t="shared" si="20"/>
        <v>60456</v>
      </c>
      <c r="H57" s="113">
        <f t="shared" si="20"/>
        <v>87584</v>
      </c>
    </row>
    <row r="58" spans="1:8" x14ac:dyDescent="0.2">
      <c r="B58" s="21" t="str">
        <f t="shared" ref="B58:D58" si="21">B37</f>
        <v>Average Total Assets</v>
      </c>
      <c r="C58" s="21"/>
      <c r="D58" s="113">
        <f t="shared" si="21"/>
        <v>18816</v>
      </c>
      <c r="E58" s="113">
        <f t="shared" ref="E58:H58" si="22">E37</f>
        <v>24104</v>
      </c>
      <c r="F58" s="113">
        <f t="shared" si="22"/>
        <v>29283.5</v>
      </c>
      <c r="G58" s="113">
        <f t="shared" si="22"/>
        <v>36096</v>
      </c>
      <c r="H58" s="113">
        <f t="shared" si="22"/>
        <v>50603</v>
      </c>
    </row>
    <row r="59" spans="1:8" x14ac:dyDescent="0.2">
      <c r="B59" s="168" t="str">
        <f t="shared" ref="B59:D59" si="23">B38</f>
        <v>Asset Turnover Ratio (B)</v>
      </c>
      <c r="C59" s="168"/>
      <c r="D59" s="163">
        <f t="shared" si="23"/>
        <v>1.5305590986394557</v>
      </c>
      <c r="E59" s="163">
        <f t="shared" ref="E59:H59" si="24">E38</f>
        <v>1.6833305675406571</v>
      </c>
      <c r="F59" s="163">
        <f t="shared" si="24"/>
        <v>1.7444636057848277</v>
      </c>
      <c r="G59" s="163">
        <f t="shared" si="24"/>
        <v>1.6748670212765957</v>
      </c>
      <c r="H59" s="163">
        <f t="shared" si="24"/>
        <v>1.7308064739244708</v>
      </c>
    </row>
    <row r="60" spans="1:8" x14ac:dyDescent="0.2">
      <c r="B60" s="168"/>
      <c r="C60" s="168"/>
    </row>
    <row r="61" spans="1:8" ht="16" thickBot="1" x14ac:dyDescent="0.25">
      <c r="B61" s="200" t="s">
        <v>1305</v>
      </c>
      <c r="C61" s="200"/>
      <c r="D61" s="103">
        <f>D55*D59</f>
        <v>0.11681547619047618</v>
      </c>
      <c r="E61" s="103">
        <f t="shared" ref="E61:H61" si="25">E55*E59</f>
        <v>0.13582807832724861</v>
      </c>
      <c r="F61" s="103">
        <f t="shared" si="25"/>
        <v>0.11938463639933752</v>
      </c>
      <c r="G61" s="103">
        <f t="shared" si="25"/>
        <v>9.2447916666666671E-2</v>
      </c>
      <c r="H61" s="103">
        <f t="shared" si="25"/>
        <v>0.1002509732624548</v>
      </c>
    </row>
  </sheetData>
  <sheetProtection sheet="1" objects="1" scenarios="1"/>
  <mergeCells count="3">
    <mergeCell ref="B2:H2"/>
    <mergeCell ref="D8:F8"/>
    <mergeCell ref="G8:H8"/>
  </mergeCells>
  <pageMargins left="0.7" right="0.7" top="0.75" bottom="0.75" header="0.3" footer="0.3"/>
  <pageSetup paperSize="9" orientation="portrait" horizontalDpi="0" verticalDpi="0"/>
  <ignoredErrors>
    <ignoredError sqref="D33:H33" formula="1"/>
  </ignoredErrors>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9E9AC-CFCC-D847-A146-D4D8FA7BCAE2}">
  <dimension ref="B2:H88"/>
  <sheetViews>
    <sheetView showGridLines="0" zoomScaleNormal="191" workbookViewId="0">
      <pane ySplit="3" topLeftCell="A4" activePane="bottomLeft" state="frozen"/>
      <selection pane="bottomLeft" activeCell="I81" sqref="I81"/>
    </sheetView>
  </sheetViews>
  <sheetFormatPr baseColWidth="10" defaultRowHeight="15" x14ac:dyDescent="0.2"/>
  <cols>
    <col min="1" max="1" width="2" customWidth="1"/>
    <col min="2" max="2" width="25" customWidth="1"/>
  </cols>
  <sheetData>
    <row r="2" spans="2:8" x14ac:dyDescent="0.2">
      <c r="B2" s="268" t="s">
        <v>1341</v>
      </c>
      <c r="C2" s="268"/>
      <c r="D2" s="268"/>
      <c r="E2" s="268"/>
      <c r="F2" s="268"/>
      <c r="G2" s="268"/>
      <c r="H2" s="138"/>
    </row>
    <row r="3" spans="2:8" x14ac:dyDescent="0.2">
      <c r="B3" s="183"/>
      <c r="C3" s="199">
        <f>HistoricalFS!H3</f>
        <v>44651</v>
      </c>
      <c r="D3" s="199">
        <f>HistoricalFS!I3</f>
        <v>45016</v>
      </c>
      <c r="E3" s="199">
        <f>HistoricalFS!J3</f>
        <v>45382</v>
      </c>
      <c r="F3" s="199">
        <f>HistoricalFS!K3</f>
        <v>45747</v>
      </c>
      <c r="G3" s="199">
        <f>HistoricalFS!L3</f>
        <v>46112</v>
      </c>
      <c r="H3" s="138"/>
    </row>
    <row r="36" spans="2:8" x14ac:dyDescent="0.2">
      <c r="C36" s="21"/>
    </row>
    <row r="37" spans="2:8" x14ac:dyDescent="0.2">
      <c r="B37" s="266" t="s">
        <v>360</v>
      </c>
      <c r="C37" s="266"/>
      <c r="D37" s="266"/>
      <c r="E37" s="266"/>
      <c r="F37" s="266"/>
      <c r="G37" s="266"/>
      <c r="H37" s="183" t="s">
        <v>1352</v>
      </c>
    </row>
    <row r="38" spans="2:8" x14ac:dyDescent="0.2">
      <c r="B38" t="str">
        <f>'Segment Data'!B5</f>
        <v>Watches</v>
      </c>
      <c r="C38" s="41">
        <f>'Segment Data'!C5</f>
        <v>2309</v>
      </c>
      <c r="D38" s="41">
        <f>'Segment Data'!D5</f>
        <v>3296</v>
      </c>
      <c r="E38" s="41">
        <f>'Segment Data'!E5</f>
        <v>3904</v>
      </c>
      <c r="F38" s="41">
        <f>'Segment Data'!F5</f>
        <v>4576</v>
      </c>
      <c r="G38" s="41">
        <f>'Segment Data'!G5</f>
        <v>5233</v>
      </c>
      <c r="H38" s="196">
        <f>(G38/C38)^(1/4)-1</f>
        <v>0.22696366112409438</v>
      </c>
    </row>
    <row r="39" spans="2:8" x14ac:dyDescent="0.2">
      <c r="B39" t="str">
        <f>'Segment Data'!B6</f>
        <v>Jewellery</v>
      </c>
      <c r="C39" s="41">
        <f>'Segment Data'!C6</f>
        <v>24313</v>
      </c>
      <c r="D39" s="41">
        <f>'Segment Data'!D6</f>
        <v>34105</v>
      </c>
      <c r="E39" s="41">
        <f>'Segment Data'!E6</f>
        <v>42292</v>
      </c>
      <c r="F39" s="41">
        <f>'Segment Data'!F6</f>
        <v>49227</v>
      </c>
      <c r="G39" s="41">
        <f>'Segment Data'!G6</f>
        <v>71108</v>
      </c>
      <c r="H39" s="196">
        <f t="shared" ref="H39:H45" si="0">(G39/C39)^(1/4)-1</f>
        <v>0.307735695995762</v>
      </c>
    </row>
    <row r="40" spans="2:8" x14ac:dyDescent="0.2">
      <c r="B40" t="str">
        <f>'Segment Data'!B7</f>
        <v>EyeCare</v>
      </c>
      <c r="C40" s="41">
        <f>'Segment Data'!C7</f>
        <v>517</v>
      </c>
      <c r="D40" s="41">
        <f>'Segment Data'!D7</f>
        <v>689</v>
      </c>
      <c r="E40" s="41">
        <f>'Segment Data'!E7</f>
        <v>724</v>
      </c>
      <c r="F40" s="41">
        <f>'Segment Data'!F7</f>
        <v>796</v>
      </c>
      <c r="G40" s="41">
        <f>'Segment Data'!G7</f>
        <v>907</v>
      </c>
      <c r="H40" s="196">
        <f t="shared" si="0"/>
        <v>0.15087772904527652</v>
      </c>
    </row>
    <row r="41" spans="2:8" x14ac:dyDescent="0.2">
      <c r="B41" t="str">
        <f>'Segment Data'!B8</f>
        <v>Others</v>
      </c>
      <c r="C41" s="41">
        <f>'Segment Data'!C8</f>
        <v>154</v>
      </c>
      <c r="D41" s="41">
        <f>'Segment Data'!D8</f>
        <v>295</v>
      </c>
      <c r="E41" s="41">
        <f>'Segment Data'!E8</f>
        <v>378</v>
      </c>
      <c r="F41" s="41">
        <f>'Segment Data'!F8</f>
        <v>406</v>
      </c>
      <c r="G41" s="41">
        <f>'Segment Data'!G8</f>
        <v>508</v>
      </c>
      <c r="H41" s="196">
        <f t="shared" si="0"/>
        <v>0.34767678673889257</v>
      </c>
    </row>
    <row r="42" spans="2:8" x14ac:dyDescent="0.2">
      <c r="B42" t="str">
        <f>'Segment Data'!B9</f>
        <v>Corporate (Unallocated)</v>
      </c>
      <c r="C42" s="41">
        <f>'Segment Data'!C9</f>
        <v>163</v>
      </c>
      <c r="D42" s="41">
        <f>'Segment Data'!D9</f>
        <v>184</v>
      </c>
      <c r="E42" s="41">
        <f>'Segment Data'!E9</f>
        <v>326</v>
      </c>
      <c r="F42" s="41">
        <f>'Segment Data'!F9</f>
        <v>330</v>
      </c>
      <c r="G42" s="41">
        <f>'Segment Data'!G9</f>
        <v>333</v>
      </c>
      <c r="H42" s="196">
        <f t="shared" si="0"/>
        <v>0.19554012688632949</v>
      </c>
    </row>
    <row r="43" spans="2:8" x14ac:dyDescent="0.2">
      <c r="B43" t="str">
        <f>'Segment Data'!B10</f>
        <v>Segment Total</v>
      </c>
      <c r="C43" s="41">
        <f>'Segment Data'!C10</f>
        <v>27456</v>
      </c>
      <c r="D43" s="41">
        <f>'Segment Data'!D10</f>
        <v>38569</v>
      </c>
      <c r="E43" s="41">
        <f>'Segment Data'!E10</f>
        <v>47624</v>
      </c>
      <c r="F43" s="41">
        <f>'Segment Data'!F10</f>
        <v>55335</v>
      </c>
      <c r="G43" s="41">
        <f>'Segment Data'!G10</f>
        <v>78089</v>
      </c>
      <c r="H43" s="196">
        <f t="shared" si="0"/>
        <v>0.29863812556653735</v>
      </c>
    </row>
    <row r="44" spans="2:8" x14ac:dyDescent="0.2">
      <c r="B44" t="str">
        <f>'Segment Data'!B11</f>
        <v>Caratlane &amp; other subs</v>
      </c>
      <c r="C44" s="41">
        <f>'Segment Data'!C11</f>
        <v>1343</v>
      </c>
      <c r="D44" s="41">
        <f>'Segment Data'!D11</f>
        <v>2006</v>
      </c>
      <c r="E44" s="41">
        <f>'Segment Data'!E11</f>
        <v>3460</v>
      </c>
      <c r="F44" s="41">
        <f>'Segment Data'!F11</f>
        <v>5121</v>
      </c>
      <c r="G44" s="41">
        <f>'Segment Data'!G11</f>
        <v>9495</v>
      </c>
      <c r="H44" s="196">
        <f t="shared" si="0"/>
        <v>0.63062741295489078</v>
      </c>
    </row>
    <row r="45" spans="2:8" x14ac:dyDescent="0.2">
      <c r="B45" s="35" t="str">
        <f>'Segment Data'!B12</f>
        <v>Consolidated Total</v>
      </c>
      <c r="C45" s="246">
        <f>'Segment Data'!C12</f>
        <v>28799</v>
      </c>
      <c r="D45" s="246">
        <f>'Segment Data'!D12</f>
        <v>40575</v>
      </c>
      <c r="E45" s="246">
        <f>'Segment Data'!E12</f>
        <v>51084</v>
      </c>
      <c r="F45" s="246">
        <f>'Segment Data'!F12</f>
        <v>60456</v>
      </c>
      <c r="G45" s="246">
        <f>'Segment Data'!G12</f>
        <v>87584</v>
      </c>
      <c r="H45" s="247">
        <f t="shared" si="0"/>
        <v>0.3205712618869776</v>
      </c>
    </row>
    <row r="46" spans="2:8" x14ac:dyDescent="0.2">
      <c r="C46" s="41"/>
      <c r="D46" s="41"/>
      <c r="E46" s="41"/>
      <c r="F46" s="41"/>
      <c r="G46" s="41"/>
    </row>
    <row r="47" spans="2:8" x14ac:dyDescent="0.2">
      <c r="B47" s="67" t="s">
        <v>1344</v>
      </c>
      <c r="C47" s="230">
        <f>C39/C43</f>
        <v>0.88552593240093236</v>
      </c>
      <c r="D47" s="230">
        <f t="shared" ref="D47:G47" si="1">D39/D43</f>
        <v>0.88425937929425191</v>
      </c>
      <c r="E47" s="230">
        <f t="shared" si="1"/>
        <v>0.88803964387703682</v>
      </c>
      <c r="F47" s="230">
        <f t="shared" si="1"/>
        <v>0.88961778259690971</v>
      </c>
      <c r="G47" s="230">
        <f t="shared" si="1"/>
        <v>0.9106020054040902</v>
      </c>
    </row>
    <row r="48" spans="2:8" x14ac:dyDescent="0.2">
      <c r="B48" s="44" t="s">
        <v>1345</v>
      </c>
      <c r="C48" s="231">
        <f>C38/C43</f>
        <v>8.4098193473193472E-2</v>
      </c>
      <c r="D48" s="231">
        <f t="shared" ref="D48:G48" si="2">D38/D43</f>
        <v>8.5457232492416185E-2</v>
      </c>
      <c r="E48" s="231">
        <f t="shared" si="2"/>
        <v>8.1975474550646729E-2</v>
      </c>
      <c r="F48" s="231">
        <f t="shared" si="2"/>
        <v>8.2696304328182882E-2</v>
      </c>
      <c r="G48" s="231">
        <f t="shared" si="2"/>
        <v>6.7013279719294647E-2</v>
      </c>
    </row>
    <row r="50" spans="2:7" x14ac:dyDescent="0.2">
      <c r="B50" s="266" t="s">
        <v>271</v>
      </c>
      <c r="C50" s="266"/>
      <c r="D50" s="266"/>
      <c r="E50" s="266"/>
      <c r="F50" s="266"/>
      <c r="G50" s="266"/>
    </row>
    <row r="51" spans="2:7" x14ac:dyDescent="0.2">
      <c r="B51" t="str">
        <f>'Segment Data'!B15</f>
        <v>Watches</v>
      </c>
      <c r="C51" s="41">
        <f>'Segment Data'!C15</f>
        <v>108</v>
      </c>
      <c r="D51" s="41">
        <f>'Segment Data'!D15</f>
        <v>413</v>
      </c>
      <c r="E51" s="41">
        <f>'Segment Data'!E15</f>
        <v>397</v>
      </c>
      <c r="F51" s="41">
        <f>'Segment Data'!F15</f>
        <v>553</v>
      </c>
      <c r="G51" s="41">
        <f>'Segment Data'!G15</f>
        <v>842</v>
      </c>
    </row>
    <row r="52" spans="2:7" x14ac:dyDescent="0.2">
      <c r="B52" t="str">
        <f>'Segment Data'!B16</f>
        <v>Jewellery</v>
      </c>
      <c r="C52" s="41">
        <f>'Segment Data'!C16</f>
        <v>3027</v>
      </c>
      <c r="D52" s="41">
        <f>'Segment Data'!D16</f>
        <v>4363</v>
      </c>
      <c r="E52" s="41">
        <f>'Segment Data'!E16</f>
        <v>4726</v>
      </c>
      <c r="F52" s="41">
        <f>'Segment Data'!F16</f>
        <v>4764</v>
      </c>
      <c r="G52" s="41">
        <f>'Segment Data'!G16</f>
        <v>6601</v>
      </c>
    </row>
    <row r="53" spans="2:7" x14ac:dyDescent="0.2">
      <c r="B53" t="str">
        <f>'Segment Data'!B17</f>
        <v>EyeCare</v>
      </c>
      <c r="C53" s="41">
        <f>'Segment Data'!C17</f>
        <v>50</v>
      </c>
      <c r="D53" s="41">
        <f>'Segment Data'!D17</f>
        <v>98</v>
      </c>
      <c r="E53" s="41">
        <f>'Segment Data'!E17</f>
        <v>85</v>
      </c>
      <c r="F53" s="41">
        <f>'Segment Data'!F17</f>
        <v>85</v>
      </c>
      <c r="G53" s="41">
        <f>'Segment Data'!G17</f>
        <v>84</v>
      </c>
    </row>
    <row r="54" spans="2:7" x14ac:dyDescent="0.2">
      <c r="B54" t="str">
        <f>'Segment Data'!B18</f>
        <v>Others</v>
      </c>
      <c r="C54" s="41">
        <f>'Segment Data'!C18</f>
        <v>-36</v>
      </c>
      <c r="D54" s="41">
        <f>'Segment Data'!D18</f>
        <v>-78</v>
      </c>
      <c r="E54" s="41">
        <f>'Segment Data'!E18</f>
        <v>-93</v>
      </c>
      <c r="F54" s="41">
        <f>'Segment Data'!F18</f>
        <v>-124</v>
      </c>
      <c r="G54" s="41">
        <f>'Segment Data'!G18</f>
        <v>-114</v>
      </c>
    </row>
    <row r="55" spans="2:7" x14ac:dyDescent="0.2">
      <c r="B55" t="str">
        <f>'Segment Data'!B19</f>
        <v>Total</v>
      </c>
      <c r="C55" s="41">
        <f>'Segment Data'!C19</f>
        <v>3149</v>
      </c>
      <c r="D55" s="41">
        <f>'Segment Data'!D19</f>
        <v>4796</v>
      </c>
      <c r="E55" s="41">
        <f>'Segment Data'!E19</f>
        <v>5115</v>
      </c>
      <c r="F55" s="41">
        <f>'Segment Data'!F19</f>
        <v>5278</v>
      </c>
      <c r="G55" s="41">
        <f>'Segment Data'!G19</f>
        <v>7413</v>
      </c>
    </row>
    <row r="56" spans="2:7" x14ac:dyDescent="0.2">
      <c r="B56" t="str">
        <f>'Segment Data'!B20</f>
        <v>Caratlane &amp; other subs</v>
      </c>
      <c r="C56" s="41">
        <f>'Segment Data'!C20</f>
        <v>-182</v>
      </c>
      <c r="D56" s="41">
        <f>'Segment Data'!D20</f>
        <v>-264</v>
      </c>
      <c r="E56" s="41">
        <f>'Segment Data'!E20</f>
        <v>-379</v>
      </c>
      <c r="F56" s="41">
        <f>'Segment Data'!F20</f>
        <v>-247</v>
      </c>
      <c r="G56" s="41">
        <f>'Segment Data'!G20</f>
        <v>289</v>
      </c>
    </row>
    <row r="57" spans="2:7" x14ac:dyDescent="0.2">
      <c r="B57" t="str">
        <f>'Segment Data'!B21</f>
        <v>Corporate (unallocated)</v>
      </c>
      <c r="C57" s="41">
        <f>'Segment Data'!C21</f>
        <v>-22</v>
      </c>
      <c r="D57" s="41">
        <f>'Segment Data'!D21</f>
        <v>-91</v>
      </c>
      <c r="E57" s="41">
        <f>'Segment Data'!E21</f>
        <v>-28</v>
      </c>
      <c r="F57" s="41">
        <f>'Segment Data'!F21</f>
        <v>-30</v>
      </c>
      <c r="G57" s="41">
        <f>'Segment Data'!G21</f>
        <v>-171</v>
      </c>
    </row>
    <row r="58" spans="2:7" x14ac:dyDescent="0.2">
      <c r="B58" s="35" t="str">
        <f>'Segment Data'!B22</f>
        <v>Consolidated EBIT</v>
      </c>
      <c r="C58" s="246">
        <f>'Segment Data'!C22</f>
        <v>2945</v>
      </c>
      <c r="D58" s="246">
        <f>'Segment Data'!D22</f>
        <v>4441</v>
      </c>
      <c r="E58" s="246">
        <f>'Segment Data'!E22</f>
        <v>4708</v>
      </c>
      <c r="F58" s="246">
        <f>'Segment Data'!F22</f>
        <v>5001</v>
      </c>
      <c r="G58" s="246">
        <f>'Segment Data'!G22</f>
        <v>7531</v>
      </c>
    </row>
    <row r="60" spans="2:7" x14ac:dyDescent="0.2">
      <c r="B60" s="266" t="s">
        <v>1342</v>
      </c>
      <c r="C60" s="266"/>
      <c r="D60" s="266"/>
      <c r="E60" s="266"/>
      <c r="F60" s="266"/>
      <c r="G60" s="266"/>
    </row>
    <row r="61" spans="2:7" x14ac:dyDescent="0.2">
      <c r="B61" t="str">
        <f>'Segment Data'!B25</f>
        <v>Watches</v>
      </c>
      <c r="C61" s="41">
        <f>'Segment Data'!C25</f>
        <v>1351</v>
      </c>
      <c r="D61" s="41">
        <f>'Segment Data'!D25</f>
        <v>1764</v>
      </c>
      <c r="E61" s="41">
        <f>'Segment Data'!E25</f>
        <v>2605</v>
      </c>
      <c r="F61" s="41">
        <f>'Segment Data'!F25</f>
        <v>2865</v>
      </c>
      <c r="G61" s="41">
        <f>'Segment Data'!G25</f>
        <v>3132</v>
      </c>
    </row>
    <row r="62" spans="2:7" x14ac:dyDescent="0.2">
      <c r="B62" t="str">
        <f>'Segment Data'!B26</f>
        <v>Jewellery</v>
      </c>
      <c r="C62" s="41">
        <f>'Segment Data'!C26</f>
        <v>4998</v>
      </c>
      <c r="D62" s="41">
        <f>'Segment Data'!D26</f>
        <v>6376</v>
      </c>
      <c r="E62" s="41">
        <f>'Segment Data'!E26</f>
        <v>7632</v>
      </c>
      <c r="F62" s="41">
        <f>'Segment Data'!F26</f>
        <v>11488</v>
      </c>
      <c r="G62" s="41">
        <f>'Segment Data'!G26</f>
        <v>11653</v>
      </c>
    </row>
    <row r="63" spans="2:7" x14ac:dyDescent="0.2">
      <c r="B63" t="str">
        <f>'Segment Data'!B27</f>
        <v>EyeCare</v>
      </c>
      <c r="C63" s="41">
        <f>'Segment Data'!C27</f>
        <v>194</v>
      </c>
      <c r="D63" s="41">
        <f>'Segment Data'!D27</f>
        <v>256</v>
      </c>
      <c r="E63" s="41">
        <f>'Segment Data'!E27</f>
        <v>261</v>
      </c>
      <c r="F63" s="41">
        <f>'Segment Data'!F27</f>
        <v>256</v>
      </c>
      <c r="G63" s="41">
        <f>'Segment Data'!G27</f>
        <v>265</v>
      </c>
    </row>
    <row r="64" spans="2:7" x14ac:dyDescent="0.2">
      <c r="B64" t="str">
        <f>'Segment Data'!B28</f>
        <v>Others</v>
      </c>
      <c r="C64" s="41">
        <f>'Segment Data'!C28</f>
        <v>117</v>
      </c>
      <c r="D64" s="41">
        <f>'Segment Data'!D28</f>
        <v>168</v>
      </c>
      <c r="E64" s="41">
        <f>'Segment Data'!E28</f>
        <v>245</v>
      </c>
      <c r="F64" s="41">
        <f>'Segment Data'!F28</f>
        <v>262</v>
      </c>
      <c r="G64" s="41">
        <f>'Segment Data'!G28</f>
        <v>270</v>
      </c>
    </row>
    <row r="65" spans="2:7" x14ac:dyDescent="0.2">
      <c r="B65" t="str">
        <f>'Segment Data'!B29</f>
        <v>Corporate (unallocated)</v>
      </c>
      <c r="C65" s="41">
        <f>'Segment Data'!C29</f>
        <v>2713</v>
      </c>
      <c r="D65" s="41">
        <f>'Segment Data'!D29</f>
        <v>3430</v>
      </c>
      <c r="E65" s="41">
        <f>'Segment Data'!E29</f>
        <v>3714</v>
      </c>
      <c r="F65" s="41">
        <f>'Segment Data'!F29</f>
        <v>1940</v>
      </c>
      <c r="G65" s="41">
        <f>'Segment Data'!G29</f>
        <v>5167</v>
      </c>
    </row>
    <row r="66" spans="2:7" x14ac:dyDescent="0.2">
      <c r="B66" s="35" t="str">
        <f>'Segment Data'!B30</f>
        <v>Total</v>
      </c>
      <c r="C66" s="246">
        <f>'Segment Data'!C30</f>
        <v>9373</v>
      </c>
      <c r="D66" s="246">
        <f>'Segment Data'!D30</f>
        <v>11994</v>
      </c>
      <c r="E66" s="246">
        <f>'Segment Data'!E30</f>
        <v>14457</v>
      </c>
      <c r="F66" s="246">
        <f>'Segment Data'!F30</f>
        <v>16811</v>
      </c>
      <c r="G66" s="246">
        <f>'Segment Data'!G30</f>
        <v>20487</v>
      </c>
    </row>
    <row r="68" spans="2:7" x14ac:dyDescent="0.2">
      <c r="B68" s="266" t="s">
        <v>1343</v>
      </c>
      <c r="C68" s="266"/>
      <c r="D68" s="266"/>
      <c r="E68" s="266"/>
      <c r="F68" s="266"/>
      <c r="G68" s="266"/>
    </row>
    <row r="69" spans="2:7" x14ac:dyDescent="0.2">
      <c r="B69" s="23" t="str">
        <f>B38</f>
        <v>Watches</v>
      </c>
      <c r="C69" s="196">
        <f t="shared" ref="C69:G72" si="3">C51/C38</f>
        <v>4.6773495019488957E-2</v>
      </c>
      <c r="D69" s="196">
        <f t="shared" si="3"/>
        <v>0.12530339805825244</v>
      </c>
      <c r="E69" s="196">
        <f t="shared" si="3"/>
        <v>0.1016905737704918</v>
      </c>
      <c r="F69" s="196">
        <f t="shared" si="3"/>
        <v>0.1208479020979021</v>
      </c>
      <c r="G69" s="196">
        <f t="shared" si="3"/>
        <v>0.16090196827823428</v>
      </c>
    </row>
    <row r="70" spans="2:7" x14ac:dyDescent="0.2">
      <c r="B70" t="str">
        <f>B39</f>
        <v>Jewellery</v>
      </c>
      <c r="C70" s="31">
        <f t="shared" si="3"/>
        <v>0.12450129560317526</v>
      </c>
      <c r="D70" s="31">
        <f t="shared" si="3"/>
        <v>0.12792845623808827</v>
      </c>
      <c r="E70" s="31">
        <f t="shared" si="3"/>
        <v>0.11174690248746807</v>
      </c>
      <c r="F70" s="31">
        <f t="shared" si="3"/>
        <v>9.6776159424705951E-2</v>
      </c>
      <c r="G70" s="31">
        <f t="shared" si="3"/>
        <v>9.2830623839792986E-2</v>
      </c>
    </row>
    <row r="71" spans="2:7" x14ac:dyDescent="0.2">
      <c r="B71" t="str">
        <f>B40</f>
        <v>EyeCare</v>
      </c>
      <c r="C71" s="31">
        <f t="shared" si="3"/>
        <v>9.6711798839458407E-2</v>
      </c>
      <c r="D71" s="31">
        <f t="shared" si="3"/>
        <v>0.14223512336719885</v>
      </c>
      <c r="E71" s="31">
        <f t="shared" si="3"/>
        <v>0.11740331491712708</v>
      </c>
      <c r="F71" s="31">
        <f t="shared" si="3"/>
        <v>0.10678391959798995</v>
      </c>
      <c r="G71" s="31">
        <f t="shared" si="3"/>
        <v>9.2613009922822495E-2</v>
      </c>
    </row>
    <row r="72" spans="2:7" x14ac:dyDescent="0.2">
      <c r="B72" t="str">
        <f>B41</f>
        <v>Others</v>
      </c>
      <c r="C72" s="31">
        <f t="shared" si="3"/>
        <v>-0.23376623376623376</v>
      </c>
      <c r="D72" s="31">
        <f t="shared" si="3"/>
        <v>-0.26440677966101694</v>
      </c>
      <c r="E72" s="31">
        <f t="shared" si="3"/>
        <v>-0.24603174603174602</v>
      </c>
      <c r="F72" s="31">
        <f t="shared" si="3"/>
        <v>-0.30541871921182268</v>
      </c>
      <c r="G72" s="31">
        <f t="shared" si="3"/>
        <v>-0.22440944881889763</v>
      </c>
    </row>
    <row r="73" spans="2:7" x14ac:dyDescent="0.2">
      <c r="B73" s="35" t="str">
        <f>B44</f>
        <v>Caratlane &amp; other subs</v>
      </c>
      <c r="C73" s="36">
        <f>C56/C44</f>
        <v>-0.1355174981384959</v>
      </c>
      <c r="D73" s="36">
        <f>D56/D44</f>
        <v>-0.13160518444666003</v>
      </c>
      <c r="E73" s="36">
        <f>E56/E44</f>
        <v>-0.10953757225433526</v>
      </c>
      <c r="F73" s="36">
        <f>F56/F44</f>
        <v>-4.8232767037687953E-2</v>
      </c>
      <c r="G73" s="36">
        <f>G56/G44</f>
        <v>3.0437072143233282E-2</v>
      </c>
    </row>
    <row r="75" spans="2:7" x14ac:dyDescent="0.2">
      <c r="B75" s="266" t="s">
        <v>143</v>
      </c>
      <c r="C75" s="266"/>
      <c r="D75" s="266"/>
      <c r="E75" s="266"/>
      <c r="F75" s="266"/>
      <c r="G75" s="266"/>
    </row>
    <row r="76" spans="2:7" x14ac:dyDescent="0.2">
      <c r="B76" t="str">
        <f>B61</f>
        <v>Watches</v>
      </c>
      <c r="C76" s="31">
        <f>C51/C61</f>
        <v>7.9940784603997034E-2</v>
      </c>
      <c r="D76" s="31">
        <f t="shared" ref="D76:G76" si="4">D51/D61</f>
        <v>0.23412698412698413</v>
      </c>
      <c r="E76" s="31">
        <f t="shared" si="4"/>
        <v>0.15239923224568139</v>
      </c>
      <c r="F76" s="31">
        <f t="shared" si="4"/>
        <v>0.19301919720767888</v>
      </c>
      <c r="G76" s="31">
        <f t="shared" si="4"/>
        <v>0.26883780332056195</v>
      </c>
    </row>
    <row r="77" spans="2:7" x14ac:dyDescent="0.2">
      <c r="B77" s="23" t="str">
        <f t="shared" ref="B77:B79" si="5">B62</f>
        <v>Jewellery</v>
      </c>
      <c r="C77" s="196">
        <f t="shared" ref="C77:G79" si="6">C52/C62</f>
        <v>0.60564225690276108</v>
      </c>
      <c r="D77" s="196">
        <f t="shared" si="6"/>
        <v>0.6842848180677541</v>
      </c>
      <c r="E77" s="196">
        <f t="shared" si="6"/>
        <v>0.61923480083857441</v>
      </c>
      <c r="F77" s="196">
        <f t="shared" si="6"/>
        <v>0.41469359331476324</v>
      </c>
      <c r="G77" s="196">
        <f t="shared" si="6"/>
        <v>0.5664635716124603</v>
      </c>
    </row>
    <row r="78" spans="2:7" x14ac:dyDescent="0.2">
      <c r="B78" t="str">
        <f t="shared" si="5"/>
        <v>EyeCare</v>
      </c>
      <c r="C78" s="31">
        <f t="shared" si="6"/>
        <v>0.25773195876288657</v>
      </c>
      <c r="D78" s="31">
        <f t="shared" si="6"/>
        <v>0.3828125</v>
      </c>
      <c r="E78" s="31">
        <f t="shared" si="6"/>
        <v>0.32567049808429116</v>
      </c>
      <c r="F78" s="31">
        <f t="shared" si="6"/>
        <v>0.33203125</v>
      </c>
      <c r="G78" s="31">
        <f t="shared" si="6"/>
        <v>0.31698113207547168</v>
      </c>
    </row>
    <row r="79" spans="2:7" x14ac:dyDescent="0.2">
      <c r="B79" t="str">
        <f t="shared" si="5"/>
        <v>Others</v>
      </c>
      <c r="C79" s="31">
        <f t="shared" si="6"/>
        <v>-0.30769230769230771</v>
      </c>
      <c r="D79" s="31">
        <f t="shared" si="6"/>
        <v>-0.4642857142857143</v>
      </c>
      <c r="E79" s="31">
        <f t="shared" si="6"/>
        <v>-0.37959183673469388</v>
      </c>
      <c r="F79" s="31">
        <f t="shared" si="6"/>
        <v>-0.47328244274809161</v>
      </c>
      <c r="G79" s="31">
        <f t="shared" si="6"/>
        <v>-0.42222222222222222</v>
      </c>
    </row>
    <row r="80" spans="2:7" x14ac:dyDescent="0.2">
      <c r="B80" s="35" t="str">
        <f>B56</f>
        <v>Caratlane &amp; other subs</v>
      </c>
      <c r="C80" s="36">
        <f>C56/(C44/4)</f>
        <v>-0.54206999255398358</v>
      </c>
      <c r="D80" s="36">
        <f>D56/(D44/4)</f>
        <v>-0.52642073778664011</v>
      </c>
      <c r="E80" s="36">
        <f>E56/(E44/4)</f>
        <v>-0.43815028901734104</v>
      </c>
      <c r="F80" s="36">
        <f>F56/(F44/4)</f>
        <v>-0.19293106815075181</v>
      </c>
      <c r="G80" s="36">
        <f>G56/(G44/4)</f>
        <v>0.12174828857293313</v>
      </c>
    </row>
    <row r="82" spans="2:8" x14ac:dyDescent="0.2">
      <c r="B82" s="266" t="s">
        <v>1351</v>
      </c>
      <c r="C82" s="266"/>
      <c r="D82" s="266"/>
      <c r="E82" s="266"/>
      <c r="F82" s="266"/>
      <c r="G82" s="266"/>
      <c r="H82" s="183" t="s">
        <v>1352</v>
      </c>
    </row>
    <row r="83" spans="2:8" x14ac:dyDescent="0.2">
      <c r="B83" t="s">
        <v>1350</v>
      </c>
      <c r="C83" s="41">
        <f>C39</f>
        <v>24313</v>
      </c>
      <c r="D83" s="41">
        <f t="shared" ref="D83:G83" si="7">D39</f>
        <v>34105</v>
      </c>
      <c r="E83" s="41">
        <f t="shared" si="7"/>
        <v>42292</v>
      </c>
      <c r="F83" s="41">
        <f t="shared" si="7"/>
        <v>49227</v>
      </c>
      <c r="G83" s="41">
        <f t="shared" si="7"/>
        <v>71108</v>
      </c>
      <c r="H83" s="245">
        <f>(G83/C83)^(1/4)-1</f>
        <v>0.307735695995762</v>
      </c>
    </row>
    <row r="84" spans="2:8" x14ac:dyDescent="0.2">
      <c r="B84" s="15" t="s">
        <v>1353</v>
      </c>
      <c r="C84" s="41"/>
      <c r="D84" s="244">
        <f>(D83/C83)-1</f>
        <v>0.40274750133673343</v>
      </c>
      <c r="E84" s="244">
        <f t="shared" ref="E84:G84" si="8">(E83/D83)-1</f>
        <v>0.2400527781850168</v>
      </c>
      <c r="F84" s="244">
        <f t="shared" si="8"/>
        <v>0.16397900312115765</v>
      </c>
      <c r="G84" s="244">
        <f t="shared" si="8"/>
        <v>0.44449184390679908</v>
      </c>
      <c r="H84" s="23"/>
    </row>
    <row r="85" spans="2:8" x14ac:dyDescent="0.2">
      <c r="B85" t="str">
        <f>'Segment Data'!B33</f>
        <v>Gold Sold (Tonnes)</v>
      </c>
      <c r="C85" s="41">
        <f>'Segment Data'!C33</f>
        <v>36.799999999999997</v>
      </c>
      <c r="D85" s="41">
        <f>'Segment Data'!D33</f>
        <v>44.4</v>
      </c>
      <c r="E85" s="41">
        <f>'Segment Data'!E33</f>
        <v>47.1</v>
      </c>
      <c r="F85" s="41">
        <f>'Segment Data'!F33</f>
        <v>44.4</v>
      </c>
      <c r="G85" s="41">
        <f>'Segment Data'!G33</f>
        <v>48.9</v>
      </c>
      <c r="H85" s="245">
        <f>(G85/C85)^(1/4)-1</f>
        <v>7.3656258748700632E-2</v>
      </c>
    </row>
    <row r="86" spans="2:8" x14ac:dyDescent="0.2">
      <c r="B86" s="15" t="s">
        <v>1354</v>
      </c>
      <c r="C86" s="41"/>
      <c r="D86" s="244">
        <f>D85/C85-1</f>
        <v>0.20652173913043481</v>
      </c>
      <c r="E86" s="244">
        <f t="shared" ref="E86:G86" si="9">E85/D85-1</f>
        <v>6.0810810810810967E-2</v>
      </c>
      <c r="F86" s="244">
        <f t="shared" si="9"/>
        <v>-5.7324840764331308E-2</v>
      </c>
      <c r="G86" s="244">
        <f t="shared" si="9"/>
        <v>0.10135135135135132</v>
      </c>
      <c r="H86" s="23"/>
    </row>
    <row r="87" spans="2:8" x14ac:dyDescent="0.2">
      <c r="B87" t="str">
        <f>'Segment Data'!B34</f>
        <v>Average Price per gm</v>
      </c>
      <c r="C87" s="41">
        <f>'Segment Data'!C34</f>
        <v>4534</v>
      </c>
      <c r="D87" s="41">
        <f>'Segment Data'!D34</f>
        <v>5142</v>
      </c>
      <c r="E87" s="41">
        <f>'Segment Data'!E34</f>
        <v>5785</v>
      </c>
      <c r="F87" s="41">
        <f>'Segment Data'!F34</f>
        <v>6680</v>
      </c>
      <c r="G87" s="41">
        <f>'Segment Data'!G34</f>
        <v>7450</v>
      </c>
      <c r="H87" s="245">
        <f>(G87/C87)^(1/4)-1</f>
        <v>0.13218836948554569</v>
      </c>
    </row>
    <row r="88" spans="2:8" x14ac:dyDescent="0.2">
      <c r="B88" s="248" t="s">
        <v>1355</v>
      </c>
      <c r="C88" s="35"/>
      <c r="D88" s="249">
        <f>D87/C87-1</f>
        <v>0.13409792677547427</v>
      </c>
      <c r="E88" s="249">
        <f t="shared" ref="E88:G88" si="10">E87/D87-1</f>
        <v>0.12504861921431343</v>
      </c>
      <c r="F88" s="249">
        <f t="shared" si="10"/>
        <v>0.15471045808124462</v>
      </c>
      <c r="G88" s="249">
        <f t="shared" si="10"/>
        <v>0.11526946107784442</v>
      </c>
      <c r="H88" s="35"/>
    </row>
  </sheetData>
  <sheetProtection sheet="1" objects="1" scenarios="1"/>
  <mergeCells count="7">
    <mergeCell ref="B82:G82"/>
    <mergeCell ref="B37:G37"/>
    <mergeCell ref="B50:G50"/>
    <mergeCell ref="B60:G60"/>
    <mergeCell ref="B2:G2"/>
    <mergeCell ref="B68:G68"/>
    <mergeCell ref="B75:G75"/>
  </mergeCells>
  <pageMargins left="0.7" right="0.7" top="0.75" bottom="0.75" header="0.3" footer="0.3"/>
  <pageSetup paperSize="9" orientation="portrait" horizontalDpi="0" verticalDpi="0"/>
  <ignoredErrors>
    <ignoredError sqref="D87 E87:G87" formula="1"/>
  </ignoredErrors>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91DFF-5D33-1B41-AB43-F70A3B8F0D39}">
  <sheetPr>
    <tabColor theme="0" tint="-4.9989318521683403E-2"/>
  </sheetPr>
  <dimension ref="A1"/>
  <sheetViews>
    <sheetView workbookViewId="0">
      <selection activeCell="I22" sqref="I22"/>
    </sheetView>
  </sheetViews>
  <sheetFormatPr baseColWidth="10" defaultRowHeight="15" x14ac:dyDescent="0.2"/>
  <sheetData/>
  <pageMargins left="0.7" right="0.7" top="0.75" bottom="0.75" header="0.3" footer="0.3"/>
  <pageSetup paperSize="9"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A6B63-793E-2A4C-A3AF-48A661B9C9C0}">
  <dimension ref="B3:J50"/>
  <sheetViews>
    <sheetView showGridLines="0" topLeftCell="A28" zoomScale="144" workbookViewId="0">
      <selection activeCell="B45" sqref="B45"/>
    </sheetView>
  </sheetViews>
  <sheetFormatPr baseColWidth="10" defaultRowHeight="15" x14ac:dyDescent="0.2"/>
  <cols>
    <col min="1" max="1" width="2.6640625" customWidth="1"/>
    <col min="2" max="2" width="21.6640625" customWidth="1"/>
    <col min="3" max="3" width="11.6640625" bestFit="1" customWidth="1"/>
    <col min="4" max="4" width="20.33203125" bestFit="1" customWidth="1"/>
    <col min="5" max="5" width="11.6640625" bestFit="1" customWidth="1"/>
    <col min="6" max="6" width="17" bestFit="1" customWidth="1"/>
    <col min="10" max="10" width="20.1640625" bestFit="1" customWidth="1"/>
  </cols>
  <sheetData>
    <row r="3" spans="2:10" ht="19" x14ac:dyDescent="0.25">
      <c r="B3" s="277" t="s">
        <v>218</v>
      </c>
      <c r="C3" s="277"/>
      <c r="D3" s="277"/>
      <c r="E3" s="277"/>
      <c r="F3" s="277"/>
      <c r="G3" s="277"/>
      <c r="H3" s="277"/>
      <c r="I3" s="277"/>
      <c r="J3" s="277"/>
    </row>
    <row r="5" spans="2:10" x14ac:dyDescent="0.2">
      <c r="B5" s="73" t="s">
        <v>217</v>
      </c>
    </row>
    <row r="6" spans="2:10" x14ac:dyDescent="0.2">
      <c r="B6" s="33"/>
    </row>
    <row r="7" spans="2:10" x14ac:dyDescent="0.2">
      <c r="B7" s="23" t="s">
        <v>216</v>
      </c>
    </row>
    <row r="8" spans="2:10" x14ac:dyDescent="0.2">
      <c r="B8" s="37"/>
      <c r="C8" s="37"/>
      <c r="D8" s="37"/>
      <c r="E8" s="37"/>
      <c r="F8" s="37"/>
      <c r="G8" s="37" t="s">
        <v>215</v>
      </c>
      <c r="H8" s="37" t="s">
        <v>215</v>
      </c>
      <c r="I8" s="37" t="s">
        <v>214</v>
      </c>
      <c r="J8" s="37" t="s">
        <v>213</v>
      </c>
    </row>
    <row r="9" spans="2:10" ht="17" x14ac:dyDescent="0.2">
      <c r="B9" s="35" t="s">
        <v>212</v>
      </c>
      <c r="C9" s="35" t="s">
        <v>211</v>
      </c>
      <c r="D9" s="35" t="s">
        <v>188</v>
      </c>
      <c r="E9" s="35" t="s">
        <v>210</v>
      </c>
      <c r="F9" s="35" t="s">
        <v>209</v>
      </c>
      <c r="G9" s="35" t="s">
        <v>176</v>
      </c>
      <c r="H9" s="35" t="s">
        <v>208</v>
      </c>
      <c r="I9" s="35" t="s">
        <v>207</v>
      </c>
      <c r="J9" s="35" t="s">
        <v>206</v>
      </c>
    </row>
    <row r="11" spans="2:10" x14ac:dyDescent="0.2">
      <c r="B11" s="208" t="s">
        <v>205</v>
      </c>
      <c r="C11" s="209" t="s">
        <v>200</v>
      </c>
      <c r="D11" s="210">
        <f>'Beta - comps'!F4</f>
        <v>30621</v>
      </c>
      <c r="E11" s="210">
        <f>'Beta - comps'!E4</f>
        <v>448931.97</v>
      </c>
      <c r="F11" s="211">
        <v>0.25169999999999998</v>
      </c>
      <c r="G11" s="42">
        <f>D11/E11</f>
        <v>6.8208552845991352E-2</v>
      </c>
      <c r="H11" s="42">
        <f>D11/(D11+E11)</f>
        <v>6.3853217299436188E-2</v>
      </c>
      <c r="I11" s="212">
        <f>'Beta - regression'!J7</f>
        <v>0.97667834526784536</v>
      </c>
      <c r="J11" s="213">
        <f>I11/(1+(1-F11)*G11)</f>
        <v>0.92924904639721206</v>
      </c>
    </row>
    <row r="12" spans="2:10" x14ac:dyDescent="0.2">
      <c r="B12" s="72" t="s">
        <v>204</v>
      </c>
      <c r="C12" s="71" t="s">
        <v>200</v>
      </c>
      <c r="D12" s="70">
        <f>'Beta - comps'!F5</f>
        <v>6117.33</v>
      </c>
      <c r="E12" s="70">
        <f>'Beta - comps'!E5</f>
        <v>63311.81</v>
      </c>
      <c r="F12" s="69">
        <v>0.25169999999999998</v>
      </c>
      <c r="G12" s="207">
        <f>D12/E12</f>
        <v>9.6622257363989439E-2</v>
      </c>
      <c r="H12" s="207">
        <f>D12/(D12+E12)</f>
        <v>8.8108969807201995E-2</v>
      </c>
      <c r="I12" s="68">
        <f>'Beta - regression'!AD7</f>
        <v>1.5734218068164971</v>
      </c>
      <c r="J12" s="46">
        <f>I12/(1+(1-F12)*G12)</f>
        <v>1.4673302560805492</v>
      </c>
    </row>
    <row r="13" spans="2:10" x14ac:dyDescent="0.2">
      <c r="B13" s="72" t="s">
        <v>203</v>
      </c>
      <c r="C13" s="71" t="s">
        <v>200</v>
      </c>
      <c r="D13" s="70">
        <f>'Beta - comps'!F6</f>
        <v>913.21</v>
      </c>
      <c r="E13" s="70">
        <f>'Beta - comps'!E6</f>
        <v>16398.54</v>
      </c>
      <c r="F13" s="69">
        <v>0.25169999999999998</v>
      </c>
      <c r="G13" s="207">
        <f>D13/E13</f>
        <v>5.5688494219607351E-2</v>
      </c>
      <c r="H13" s="207">
        <f>D13/(D13+E13)</f>
        <v>5.275087729432322E-2</v>
      </c>
      <c r="I13" s="68">
        <f>'Beta - regression'!AN7</f>
        <v>0.5683506203133819</v>
      </c>
      <c r="J13" s="46">
        <f>I13/(1+(1-F13)*G13)</f>
        <v>0.54561395897658926</v>
      </c>
    </row>
    <row r="14" spans="2:10" x14ac:dyDescent="0.2">
      <c r="B14" s="72" t="s">
        <v>202</v>
      </c>
      <c r="C14" s="71" t="s">
        <v>200</v>
      </c>
      <c r="D14" s="70">
        <f>'Beta - comps'!F7</f>
        <v>1699.09</v>
      </c>
      <c r="E14" s="70">
        <f>'Beta - comps'!E7</f>
        <v>13388.55</v>
      </c>
      <c r="F14" s="69">
        <v>0.25169999999999998</v>
      </c>
      <c r="G14" s="207">
        <f>D14/E14</f>
        <v>0.12690619970049036</v>
      </c>
      <c r="H14" s="207">
        <f>D14/(D14+E14)</f>
        <v>0.1126146965330562</v>
      </c>
      <c r="I14" s="68">
        <f>'Beta - regression'!BH7</f>
        <v>0.27185751153267851</v>
      </c>
      <c r="J14" s="46">
        <f>I14/(1+(1-F14)*G14)</f>
        <v>0.24827988323596428</v>
      </c>
    </row>
    <row r="15" spans="2:10" x14ac:dyDescent="0.2">
      <c r="B15" s="72" t="s">
        <v>201</v>
      </c>
      <c r="C15" s="71" t="s">
        <v>200</v>
      </c>
      <c r="D15" s="70">
        <f>'Beta - comps'!F8</f>
        <v>869.11</v>
      </c>
      <c r="E15" s="70">
        <f>'Beta - comps'!E8</f>
        <v>11993.66</v>
      </c>
      <c r="F15" s="69">
        <v>0.25169999999999998</v>
      </c>
      <c r="G15" s="207">
        <f>D15/E15</f>
        <v>7.2464118542630018E-2</v>
      </c>
      <c r="H15" s="207">
        <f>D15/(D15+E15)</f>
        <v>6.7567872239027826E-2</v>
      </c>
      <c r="I15" s="68">
        <f>'Beta - regression'!AX7</f>
        <v>1.2305792075944824</v>
      </c>
      <c r="J15" s="46">
        <f>I15/(1+(1-F15)*G15)</f>
        <v>1.167283382990526</v>
      </c>
    </row>
    <row r="17" spans="2:10" x14ac:dyDescent="0.2">
      <c r="E17" s="67" t="s">
        <v>1311</v>
      </c>
      <c r="F17" s="66">
        <f>AVERAGE(F12:F15)</f>
        <v>0.25169999999999998</v>
      </c>
      <c r="G17" s="65">
        <f>AVERAGE(G12:G15)</f>
        <v>8.7920267456679302E-2</v>
      </c>
      <c r="H17" s="65">
        <f t="shared" ref="H17:J17" si="0">AVERAGE(H12:H15)</f>
        <v>8.0260603968402316E-2</v>
      </c>
      <c r="I17" s="205">
        <f t="shared" si="0"/>
        <v>0.91105228656426007</v>
      </c>
      <c r="J17" s="205">
        <f t="shared" si="0"/>
        <v>0.85712687032090717</v>
      </c>
    </row>
    <row r="18" spans="2:10" x14ac:dyDescent="0.2">
      <c r="E18" s="44" t="s">
        <v>1312</v>
      </c>
      <c r="F18" s="64">
        <f>MEDIAN(F12:F15)</f>
        <v>0.25169999999999998</v>
      </c>
      <c r="G18" s="63">
        <f>MEDIAN(G12:G15)</f>
        <v>8.4543187953309729E-2</v>
      </c>
      <c r="H18" s="63">
        <f t="shared" ref="H18:J18" si="1">MEDIAN(H12:H15)</f>
        <v>7.7838421023114918E-2</v>
      </c>
      <c r="I18" s="206">
        <f t="shared" si="1"/>
        <v>0.89946491395393213</v>
      </c>
      <c r="J18" s="206">
        <f t="shared" si="1"/>
        <v>0.8564486709835577</v>
      </c>
    </row>
    <row r="21" spans="2:10" x14ac:dyDescent="0.2">
      <c r="B21" s="44" t="s">
        <v>198</v>
      </c>
      <c r="C21" s="35"/>
      <c r="D21" s="35"/>
      <c r="E21" s="35"/>
      <c r="G21" s="44" t="s">
        <v>192</v>
      </c>
      <c r="H21" s="35"/>
      <c r="I21" s="35"/>
      <c r="J21" s="35"/>
    </row>
    <row r="23" spans="2:10" x14ac:dyDescent="0.2">
      <c r="B23" t="s">
        <v>197</v>
      </c>
      <c r="E23" s="61">
        <v>7.1999999999999995E-2</v>
      </c>
      <c r="G23" t="s">
        <v>196</v>
      </c>
      <c r="J23" s="61">
        <v>6.7580000000000001E-2</v>
      </c>
    </row>
    <row r="24" spans="2:10" x14ac:dyDescent="0.2">
      <c r="B24" t="s">
        <v>185</v>
      </c>
      <c r="E24" s="57">
        <f>F11</f>
        <v>0.25169999999999998</v>
      </c>
      <c r="G24" t="s">
        <v>195</v>
      </c>
      <c r="J24" s="48">
        <f>'Market Return'!F7-WACC!J23</f>
        <v>7.4682827217479514E-2</v>
      </c>
    </row>
    <row r="25" spans="2:10" ht="17" x14ac:dyDescent="0.2">
      <c r="B25" s="50" t="s">
        <v>194</v>
      </c>
      <c r="C25" s="50"/>
      <c r="D25" s="50"/>
      <c r="E25" s="60">
        <f>E23*(1-E24)</f>
        <v>5.3877599999999991E-2</v>
      </c>
      <c r="G25" t="s">
        <v>193</v>
      </c>
      <c r="J25" s="46">
        <f>J34</f>
        <v>0.91054453712457928</v>
      </c>
    </row>
    <row r="26" spans="2:10" x14ac:dyDescent="0.2">
      <c r="G26" s="50" t="s">
        <v>192</v>
      </c>
      <c r="H26" s="50"/>
      <c r="I26" s="50"/>
      <c r="J26" s="59">
        <f>J23+(J24*J25)</f>
        <v>0.13558204033989482</v>
      </c>
    </row>
    <row r="29" spans="2:10" x14ac:dyDescent="0.2">
      <c r="B29" s="44" t="s">
        <v>191</v>
      </c>
      <c r="C29" s="35"/>
      <c r="D29" s="35"/>
      <c r="E29" s="35"/>
      <c r="G29" s="44" t="s">
        <v>183</v>
      </c>
      <c r="H29" s="35"/>
      <c r="I29" s="35"/>
      <c r="J29" s="35"/>
    </row>
    <row r="31" spans="2:10" x14ac:dyDescent="0.2">
      <c r="C31" s="58"/>
      <c r="D31" s="58" t="s">
        <v>190</v>
      </c>
      <c r="E31" s="58" t="s">
        <v>189</v>
      </c>
      <c r="G31" t="s">
        <v>1313</v>
      </c>
      <c r="J31" s="46">
        <f>J18</f>
        <v>0.8564486709835577</v>
      </c>
    </row>
    <row r="32" spans="2:10" x14ac:dyDescent="0.2">
      <c r="B32" t="s">
        <v>188</v>
      </c>
      <c r="C32" s="56">
        <f>D11</f>
        <v>30621</v>
      </c>
      <c r="D32" s="31">
        <f>C32/$C$34</f>
        <v>6.3853217299436188E-2</v>
      </c>
      <c r="E32" s="57">
        <f>H18</f>
        <v>7.7838421023114918E-2</v>
      </c>
      <c r="G32" t="s">
        <v>187</v>
      </c>
      <c r="J32" s="48">
        <f>E36</f>
        <v>8.4408657655716549E-2</v>
      </c>
    </row>
    <row r="33" spans="2:10" x14ac:dyDescent="0.2">
      <c r="B33" t="s">
        <v>186</v>
      </c>
      <c r="C33" s="56">
        <f>E11</f>
        <v>448931.97</v>
      </c>
      <c r="D33" s="31">
        <f>C33/$C$34</f>
        <v>0.93614678270056384</v>
      </c>
      <c r="E33" s="55">
        <f>E34-E32</f>
        <v>0.92216157897688511</v>
      </c>
      <c r="G33" t="s">
        <v>185</v>
      </c>
      <c r="J33" s="48">
        <f>E24</f>
        <v>0.25169999999999998</v>
      </c>
    </row>
    <row r="34" spans="2:10" x14ac:dyDescent="0.2">
      <c r="B34" s="50" t="s">
        <v>184</v>
      </c>
      <c r="C34" s="54">
        <f>SUM(C32:C33)</f>
        <v>479552.97</v>
      </c>
      <c r="D34" s="53">
        <f>SUM(D32:D33)</f>
        <v>1</v>
      </c>
      <c r="E34" s="52">
        <f>D34</f>
        <v>1</v>
      </c>
      <c r="G34" s="50" t="s">
        <v>183</v>
      </c>
      <c r="H34" s="50"/>
      <c r="I34" s="50"/>
      <c r="J34" s="51">
        <f>J31*(1+(1-J33)*J32)</f>
        <v>0.91054453712457928</v>
      </c>
    </row>
    <row r="36" spans="2:10" x14ac:dyDescent="0.2">
      <c r="B36" t="s">
        <v>182</v>
      </c>
      <c r="D36" s="49">
        <f>D32/D33</f>
        <v>6.8208552845991352E-2</v>
      </c>
      <c r="E36" s="49">
        <f>E32/E33</f>
        <v>8.4408657655716549E-2</v>
      </c>
    </row>
    <row r="37" spans="2:10" x14ac:dyDescent="0.2">
      <c r="G37" s="44" t="s">
        <v>174</v>
      </c>
      <c r="H37" s="35"/>
      <c r="I37" s="35"/>
      <c r="J37" s="35"/>
    </row>
    <row r="39" spans="2:10" x14ac:dyDescent="0.2">
      <c r="I39" s="35" t="s">
        <v>181</v>
      </c>
      <c r="J39" s="35" t="s">
        <v>180</v>
      </c>
    </row>
    <row r="40" spans="2:10" x14ac:dyDescent="0.2">
      <c r="G40" t="s">
        <v>178</v>
      </c>
      <c r="I40" s="48">
        <f>E25</f>
        <v>5.3877599999999991E-2</v>
      </c>
      <c r="J40" s="48">
        <f>E32</f>
        <v>7.7838421023114918E-2</v>
      </c>
    </row>
    <row r="41" spans="2:10" x14ac:dyDescent="0.2">
      <c r="G41" t="s">
        <v>176</v>
      </c>
      <c r="I41" s="48">
        <f>J26</f>
        <v>0.13558204033989482</v>
      </c>
      <c r="J41" s="48">
        <f>E33</f>
        <v>0.92216157897688511</v>
      </c>
    </row>
    <row r="42" spans="2:10" ht="16" thickBot="1" x14ac:dyDescent="0.25">
      <c r="G42" s="172" t="s">
        <v>174</v>
      </c>
      <c r="H42" s="94"/>
      <c r="I42" s="94"/>
      <c r="J42" s="173">
        <f>SUMPRODUCT(I40:I41,J40:J41)</f>
        <v>0.12922229571326013</v>
      </c>
    </row>
    <row r="44" spans="2:10" x14ac:dyDescent="0.2">
      <c r="B44" s="47" t="s">
        <v>179</v>
      </c>
    </row>
    <row r="45" spans="2:10" x14ac:dyDescent="0.2">
      <c r="B45" s="47" t="s">
        <v>177</v>
      </c>
    </row>
    <row r="46" spans="2:10" x14ac:dyDescent="0.2">
      <c r="B46" s="47" t="s">
        <v>175</v>
      </c>
    </row>
    <row r="47" spans="2:10" x14ac:dyDescent="0.2">
      <c r="B47" s="47" t="s">
        <v>173</v>
      </c>
    </row>
    <row r="48" spans="2:10" x14ac:dyDescent="0.2">
      <c r="B48" s="47" t="s">
        <v>172</v>
      </c>
    </row>
    <row r="49" spans="2:2" x14ac:dyDescent="0.2">
      <c r="B49" s="47" t="s">
        <v>171</v>
      </c>
    </row>
    <row r="50" spans="2:2" x14ac:dyDescent="0.2">
      <c r="B50" s="47" t="s">
        <v>1314</v>
      </c>
    </row>
  </sheetData>
  <sheetProtection sheet="1" objects="1" scenarios="1"/>
  <mergeCells count="1">
    <mergeCell ref="B3:J3"/>
  </mergeCells>
  <pageMargins left="0.7" right="0.7" top="0.75" bottom="0.75" header="0.3" footer="0.3"/>
  <pageSetup paperSize="9" orientation="portrait" horizontalDpi="0" verticalDpi="0"/>
  <ignoredErrors>
    <ignoredError sqref="F17:F18" formulaRange="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8E30F-C7F6-594F-BE5E-0289B538DDE0}">
  <dimension ref="A2:M64"/>
  <sheetViews>
    <sheetView showGridLines="0" zoomScale="137" workbookViewId="0">
      <pane ySplit="2" topLeftCell="A37" activePane="bottomLeft" state="frozen"/>
      <selection pane="bottomLeft" activeCell="E12" sqref="E12"/>
    </sheetView>
  </sheetViews>
  <sheetFormatPr baseColWidth="10" defaultRowHeight="15" x14ac:dyDescent="0.2"/>
  <cols>
    <col min="1" max="1" width="3" customWidth="1"/>
    <col min="2" max="2" width="20" bestFit="1" customWidth="1"/>
    <col min="8" max="8" width="13.83203125" customWidth="1"/>
    <col min="9" max="9" width="11" customWidth="1"/>
    <col min="10" max="10" width="12" customWidth="1"/>
    <col min="13" max="13" width="20.1640625" bestFit="1" customWidth="1"/>
  </cols>
  <sheetData>
    <row r="2" spans="2:11" x14ac:dyDescent="0.2">
      <c r="B2" s="7" t="s">
        <v>280</v>
      </c>
      <c r="C2" s="7"/>
      <c r="D2" s="7"/>
      <c r="E2" s="7"/>
      <c r="F2" s="7"/>
      <c r="G2" s="8">
        <f>'Data Sheet'!G$57</f>
        <v>44651</v>
      </c>
      <c r="H2" s="8">
        <f>'Data Sheet'!H$57</f>
        <v>45016</v>
      </c>
      <c r="I2" s="8">
        <f>'Data Sheet'!I$57</f>
        <v>45382</v>
      </c>
      <c r="J2" s="8">
        <f>'Data Sheet'!J$57</f>
        <v>45747</v>
      </c>
      <c r="K2" s="8">
        <f>'Data Sheet'!K$57</f>
        <v>46112</v>
      </c>
    </row>
    <row r="4" spans="2:11" x14ac:dyDescent="0.2">
      <c r="B4" s="23" t="s">
        <v>279</v>
      </c>
    </row>
    <row r="5" spans="2:11" x14ac:dyDescent="0.2">
      <c r="B5" t="str">
        <f>'Raw FS'!B36</f>
        <v>Inventories</v>
      </c>
      <c r="G5" s="41">
        <f>'Raw FS'!J36</f>
        <v>13609</v>
      </c>
      <c r="H5" s="41">
        <f>'Raw FS'!K36</f>
        <v>16584</v>
      </c>
      <c r="I5" s="41">
        <f>'Raw FS'!L36</f>
        <v>19051</v>
      </c>
      <c r="J5" s="41">
        <f>'Raw FS'!M36</f>
        <v>28184</v>
      </c>
      <c r="K5" s="41">
        <f>'Raw FS'!N36</f>
        <v>42743</v>
      </c>
    </row>
    <row r="6" spans="2:11" x14ac:dyDescent="0.2">
      <c r="B6" t="str">
        <f>'Raw FS'!B37</f>
        <v>Trade receivables</v>
      </c>
      <c r="G6" s="41">
        <f>'Raw FS'!J37</f>
        <v>565</v>
      </c>
      <c r="H6" s="41">
        <f>'Raw FS'!K37</f>
        <v>674</v>
      </c>
      <c r="I6" s="41">
        <f>'Raw FS'!L37</f>
        <v>1018</v>
      </c>
      <c r="J6" s="41">
        <f>'Raw FS'!M37</f>
        <v>1068</v>
      </c>
      <c r="K6" s="41">
        <f>'Raw FS'!N37</f>
        <v>916</v>
      </c>
    </row>
    <row r="7" spans="2:11" x14ac:dyDescent="0.2">
      <c r="B7" t="str">
        <f>'Raw FS'!B39</f>
        <v>Loans n Advances</v>
      </c>
      <c r="G7" s="41">
        <f>'Raw FS'!J39</f>
        <v>29</v>
      </c>
      <c r="H7" s="41">
        <f>'Raw FS'!K39</f>
        <v>167</v>
      </c>
      <c r="I7" s="41">
        <f>'Raw FS'!L39</f>
        <v>151</v>
      </c>
      <c r="J7" s="41">
        <f>'Raw FS'!M39</f>
        <v>324</v>
      </c>
      <c r="K7" s="41">
        <f>'Raw FS'!N39</f>
        <v>399</v>
      </c>
    </row>
    <row r="8" spans="2:11" x14ac:dyDescent="0.2">
      <c r="B8" t="str">
        <f>'Raw FS'!B40</f>
        <v>Other asset items</v>
      </c>
      <c r="G8" s="41">
        <f>'Raw FS'!J40</f>
        <v>2489</v>
      </c>
      <c r="H8" s="41">
        <f>'Raw FS'!K40</f>
        <v>2595</v>
      </c>
      <c r="I8" s="41">
        <f>'Raw FS'!L40</f>
        <v>3650</v>
      </c>
      <c r="J8" s="41">
        <f>'Raw FS'!M40</f>
        <v>3330</v>
      </c>
      <c r="K8" s="41">
        <f>'Raw FS'!N40</f>
        <v>4039</v>
      </c>
    </row>
    <row r="9" spans="2:11" s="23" customFormat="1" x14ac:dyDescent="0.2">
      <c r="B9" s="26" t="s">
        <v>95</v>
      </c>
      <c r="C9" s="26"/>
      <c r="D9" s="26"/>
      <c r="E9" s="26"/>
      <c r="F9" s="26"/>
      <c r="G9" s="174">
        <f>SUM(G5:G8)</f>
        <v>16692</v>
      </c>
      <c r="H9" s="174">
        <f>SUM(H5:H8)</f>
        <v>20020</v>
      </c>
      <c r="I9" s="174">
        <f>SUM(I5:I8)</f>
        <v>23870</v>
      </c>
      <c r="J9" s="174">
        <f>SUM(J5:J8)</f>
        <v>32906</v>
      </c>
      <c r="K9" s="174">
        <f>SUM(K5:K8)</f>
        <v>48097</v>
      </c>
    </row>
    <row r="10" spans="2:11" x14ac:dyDescent="0.2">
      <c r="G10" s="41"/>
      <c r="H10" s="41"/>
      <c r="I10" s="41"/>
      <c r="J10" s="41"/>
      <c r="K10" s="41"/>
    </row>
    <row r="11" spans="2:11" x14ac:dyDescent="0.2">
      <c r="B11" s="23" t="s">
        <v>278</v>
      </c>
      <c r="G11" s="41"/>
      <c r="H11" s="41"/>
      <c r="I11" s="41"/>
      <c r="J11" s="41"/>
      <c r="K11" s="41"/>
    </row>
    <row r="12" spans="2:11" x14ac:dyDescent="0.2">
      <c r="B12" t="str">
        <f>'Raw FS'!B13</f>
        <v>Trade Payables</v>
      </c>
      <c r="G12" s="41">
        <f>'Raw FS'!J13</f>
        <v>1294</v>
      </c>
      <c r="H12" s="41">
        <f>'Raw FS'!K13</f>
        <v>1214</v>
      </c>
      <c r="I12" s="41">
        <f>'Raw FS'!L13</f>
        <v>1410</v>
      </c>
      <c r="J12" s="41">
        <f>'Raw FS'!M13</f>
        <v>1963</v>
      </c>
      <c r="K12" s="41">
        <f>'Raw FS'!N13</f>
        <v>2864</v>
      </c>
    </row>
    <row r="13" spans="2:11" x14ac:dyDescent="0.2">
      <c r="B13" t="str">
        <f>'Raw FS'!B14</f>
        <v>Advance from Customers</v>
      </c>
      <c r="G13" s="41">
        <f>'Raw FS'!J14</f>
        <v>532</v>
      </c>
      <c r="H13" s="41">
        <f>'Raw FS'!K14</f>
        <v>718</v>
      </c>
      <c r="I13" s="41">
        <f>'Raw FS'!L14</f>
        <v>1085</v>
      </c>
      <c r="J13" s="41">
        <f>'Raw FS'!M14</f>
        <v>2140</v>
      </c>
      <c r="K13" s="41">
        <f>'Raw FS'!N14</f>
        <v>4745</v>
      </c>
    </row>
    <row r="14" spans="2:11" x14ac:dyDescent="0.2">
      <c r="B14" t="str">
        <f>'Raw FS'!B15</f>
        <v>Other liability items</v>
      </c>
      <c r="G14" s="41">
        <f>'Raw FS'!J15</f>
        <v>2754</v>
      </c>
      <c r="H14" s="41">
        <f>'Raw FS'!K15</f>
        <v>3817</v>
      </c>
      <c r="I14" s="41">
        <f>'Raw FS'!L15</f>
        <v>4131</v>
      </c>
      <c r="J14" s="41">
        <f>'Raw FS'!M15</f>
        <v>4141</v>
      </c>
      <c r="K14" s="41">
        <f>'Raw FS'!N15</f>
        <v>6628</v>
      </c>
    </row>
    <row r="15" spans="2:11" x14ac:dyDescent="0.2">
      <c r="B15" s="26" t="s">
        <v>277</v>
      </c>
      <c r="C15" s="24"/>
      <c r="D15" s="24"/>
      <c r="E15" s="24"/>
      <c r="F15" s="24"/>
      <c r="G15" s="174">
        <f>SUM(G12:G14)</f>
        <v>4580</v>
      </c>
      <c r="H15" s="174">
        <f>SUM(H12:H14)</f>
        <v>5749</v>
      </c>
      <c r="I15" s="174">
        <f>SUM(I12:I14)</f>
        <v>6626</v>
      </c>
      <c r="J15" s="174">
        <f>SUM(J12:J14)</f>
        <v>8244</v>
      </c>
      <c r="K15" s="174">
        <f>SUM(K12:K14)</f>
        <v>14237</v>
      </c>
    </row>
    <row r="16" spans="2:11" x14ac:dyDescent="0.2">
      <c r="G16" s="41"/>
      <c r="H16" s="41"/>
      <c r="I16" s="41"/>
      <c r="J16" s="41"/>
      <c r="K16" s="41"/>
    </row>
    <row r="17" spans="1:11" ht="16" thickBot="1" x14ac:dyDescent="0.25">
      <c r="A17" t="s">
        <v>67</v>
      </c>
      <c r="B17" s="94" t="s">
        <v>276</v>
      </c>
      <c r="C17" s="95"/>
      <c r="D17" s="95"/>
      <c r="E17" s="95"/>
      <c r="F17" s="95"/>
      <c r="G17" s="107">
        <f>G9-G15</f>
        <v>12112</v>
      </c>
      <c r="H17" s="107">
        <f>H9-H15</f>
        <v>14271</v>
      </c>
      <c r="I17" s="107">
        <f>I9-I15</f>
        <v>17244</v>
      </c>
      <c r="J17" s="107">
        <f>J9-J15</f>
        <v>24662</v>
      </c>
      <c r="K17" s="107">
        <f>K9-K15</f>
        <v>33860</v>
      </c>
    </row>
    <row r="19" spans="1:11" x14ac:dyDescent="0.2">
      <c r="B19" s="23" t="s">
        <v>275</v>
      </c>
    </row>
    <row r="20" spans="1:11" x14ac:dyDescent="0.2">
      <c r="B20" t="str">
        <f>'Raw FS'!B19</f>
        <v>Land</v>
      </c>
      <c r="G20" s="41">
        <f>'Raw FS'!J19</f>
        <v>136</v>
      </c>
      <c r="H20" s="41">
        <f>'Raw FS'!K19</f>
        <v>144</v>
      </c>
      <c r="I20" s="41">
        <f>'Raw FS'!L19</f>
        <v>163</v>
      </c>
      <c r="J20" s="41">
        <f>'Raw FS'!M19</f>
        <v>163</v>
      </c>
      <c r="K20" s="41">
        <f>'Raw FS'!N19</f>
        <v>440</v>
      </c>
    </row>
    <row r="21" spans="1:11" x14ac:dyDescent="0.2">
      <c r="B21" t="str">
        <f>'Raw FS'!B20</f>
        <v>Building</v>
      </c>
      <c r="G21" s="41">
        <f>'Raw FS'!J20</f>
        <v>1853</v>
      </c>
      <c r="H21" s="41">
        <f>'Raw FS'!K20</f>
        <v>2403</v>
      </c>
      <c r="I21" s="41">
        <f>'Raw FS'!L20</f>
        <v>3546</v>
      </c>
      <c r="J21" s="41">
        <f>'Raw FS'!M20</f>
        <v>4177</v>
      </c>
      <c r="K21" s="41">
        <f>'Raw FS'!N20</f>
        <v>5239</v>
      </c>
    </row>
    <row r="22" spans="1:11" x14ac:dyDescent="0.2">
      <c r="B22" t="str">
        <f>'Raw FS'!B21</f>
        <v>Plant Machinery</v>
      </c>
      <c r="G22" s="41">
        <f>'Raw FS'!J21</f>
        <v>768</v>
      </c>
      <c r="H22" s="41">
        <f>'Raw FS'!K21</f>
        <v>838</v>
      </c>
      <c r="I22" s="41">
        <f>'Raw FS'!L21</f>
        <v>899</v>
      </c>
      <c r="J22" s="41">
        <f>'Raw FS'!M21</f>
        <v>1012</v>
      </c>
      <c r="K22" s="41">
        <f>'Raw FS'!N21</f>
        <v>1197</v>
      </c>
    </row>
    <row r="23" spans="1:11" x14ac:dyDescent="0.2">
      <c r="B23" t="str">
        <f>'Raw FS'!B22</f>
        <v>Equipments</v>
      </c>
      <c r="G23" s="41">
        <f>'Raw FS'!J22</f>
        <v>96</v>
      </c>
      <c r="H23" s="41">
        <f>'Raw FS'!K22</f>
        <v>130</v>
      </c>
      <c r="I23" s="41">
        <f>'Raw FS'!L22</f>
        <v>110</v>
      </c>
      <c r="J23" s="41">
        <f>'Raw FS'!M22</f>
        <v>127</v>
      </c>
      <c r="K23" s="41">
        <f>'Raw FS'!N22</f>
        <v>176</v>
      </c>
    </row>
    <row r="24" spans="1:11" x14ac:dyDescent="0.2">
      <c r="B24" t="str">
        <f>'Raw FS'!B23</f>
        <v>Computers</v>
      </c>
      <c r="G24" s="41">
        <f>'Raw FS'!J23</f>
        <v>159</v>
      </c>
      <c r="H24" s="41">
        <f>'Raw FS'!K23</f>
        <v>204</v>
      </c>
      <c r="I24" s="41">
        <f>'Raw FS'!L23</f>
        <v>212</v>
      </c>
      <c r="J24" s="41">
        <f>'Raw FS'!M23</f>
        <v>228</v>
      </c>
      <c r="K24" s="41">
        <f>'Raw FS'!N23</f>
        <v>264</v>
      </c>
    </row>
    <row r="25" spans="1:11" x14ac:dyDescent="0.2">
      <c r="B25" t="str">
        <f>'Raw FS'!B24</f>
        <v>Furniture n fittings</v>
      </c>
      <c r="G25" s="41">
        <f>'Raw FS'!J24</f>
        <v>321</v>
      </c>
      <c r="H25" s="41">
        <f>'Raw FS'!K24</f>
        <v>376</v>
      </c>
      <c r="I25" s="41">
        <f>'Raw FS'!L24</f>
        <v>173</v>
      </c>
      <c r="J25" s="41">
        <f>'Raw FS'!M24</f>
        <v>193</v>
      </c>
      <c r="K25" s="41">
        <f>'Raw FS'!N24</f>
        <v>379</v>
      </c>
    </row>
    <row r="26" spans="1:11" x14ac:dyDescent="0.2">
      <c r="B26" t="str">
        <f>'Raw FS'!B25</f>
        <v>Vehicles</v>
      </c>
      <c r="G26" s="41">
        <f>'Raw FS'!J25</f>
        <v>38</v>
      </c>
      <c r="H26" s="41">
        <f>'Raw FS'!K25</f>
        <v>40</v>
      </c>
      <c r="I26" s="41">
        <f>'Raw FS'!L25</f>
        <v>50</v>
      </c>
      <c r="J26" s="41">
        <f>'Raw FS'!M25</f>
        <v>57</v>
      </c>
      <c r="K26" s="41">
        <f>'Raw FS'!N25</f>
        <v>68</v>
      </c>
    </row>
    <row r="27" spans="1:11" x14ac:dyDescent="0.2">
      <c r="B27" t="str">
        <f>'Raw FS'!B26</f>
        <v>Intangible Assets</v>
      </c>
      <c r="G27" s="41">
        <f>'Raw FS'!J26</f>
        <v>320</v>
      </c>
      <c r="H27" s="41">
        <f>'Raw FS'!K26</f>
        <v>320</v>
      </c>
      <c r="I27" s="41">
        <f>'Raw FS'!L26</f>
        <v>320</v>
      </c>
      <c r="J27" s="41">
        <f>'Raw FS'!M26</f>
        <v>320</v>
      </c>
      <c r="K27" s="41">
        <f>'Raw FS'!N26</f>
        <v>1782</v>
      </c>
    </row>
    <row r="28" spans="1:11" x14ac:dyDescent="0.2">
      <c r="B28" t="str">
        <f>'Raw FS'!B27</f>
        <v>Other fixed assets</v>
      </c>
      <c r="G28" s="41">
        <f>'Raw FS'!J27</f>
        <v>157</v>
      </c>
      <c r="H28" s="41">
        <f>'Raw FS'!K27</f>
        <v>205</v>
      </c>
      <c r="I28" s="41">
        <f>'Raw FS'!L27</f>
        <v>305</v>
      </c>
      <c r="J28" s="41">
        <f>'Raw FS'!M27</f>
        <v>369</v>
      </c>
      <c r="K28" s="41">
        <f>'Raw FS'!N27</f>
        <v>540</v>
      </c>
    </row>
    <row r="29" spans="1:11" s="23" customFormat="1" x14ac:dyDescent="0.2">
      <c r="B29" s="23" t="s">
        <v>274</v>
      </c>
      <c r="G29" s="106">
        <f>SUM(G20:G28)</f>
        <v>3848</v>
      </c>
      <c r="H29" s="106">
        <f>SUM(H20:H28)</f>
        <v>4660</v>
      </c>
      <c r="I29" s="106">
        <f>SUM(I20:I28)</f>
        <v>5778</v>
      </c>
      <c r="J29" s="106">
        <f>SUM(J20:J28)</f>
        <v>6646</v>
      </c>
      <c r="K29" s="106">
        <f>SUM(K20:K28)</f>
        <v>10085</v>
      </c>
    </row>
    <row r="30" spans="1:11" x14ac:dyDescent="0.2">
      <c r="B30" t="str">
        <f>'Raw FS'!B29</f>
        <v>Accumulated Depreciation</v>
      </c>
      <c r="G30" s="41">
        <f>-'Raw FS'!J29</f>
        <v>-1304</v>
      </c>
      <c r="H30" s="41">
        <f>-'Raw FS'!K29</f>
        <v>-1662</v>
      </c>
      <c r="I30" s="41">
        <f>-'Raw FS'!L29</f>
        <v>-2069</v>
      </c>
      <c r="J30" s="41">
        <f>-'Raw FS'!M29</f>
        <v>-2584</v>
      </c>
      <c r="K30" s="41">
        <f>-'Raw FS'!N29</f>
        <v>-3207</v>
      </c>
    </row>
    <row r="31" spans="1:11" ht="16" thickBot="1" x14ac:dyDescent="0.25">
      <c r="A31" t="s">
        <v>67</v>
      </c>
      <c r="B31" s="94" t="s">
        <v>273</v>
      </c>
      <c r="C31" s="95"/>
      <c r="D31" s="95"/>
      <c r="E31" s="95"/>
      <c r="F31" s="95"/>
      <c r="G31" s="107">
        <f>SUM(G29:G30)</f>
        <v>2544</v>
      </c>
      <c r="H31" s="107">
        <f>SUM(H29:H30)</f>
        <v>2998</v>
      </c>
      <c r="I31" s="107">
        <f>SUM(I29:I30)</f>
        <v>3709</v>
      </c>
      <c r="J31" s="107">
        <f>SUM(J29:J30)</f>
        <v>4062</v>
      </c>
      <c r="K31" s="107">
        <f>SUM(K29:K30)</f>
        <v>6878</v>
      </c>
    </row>
    <row r="33" spans="1:13" x14ac:dyDescent="0.2">
      <c r="A33" t="s">
        <v>67</v>
      </c>
      <c r="B33" s="23" t="s">
        <v>272</v>
      </c>
      <c r="G33" s="106">
        <f>G31+G17</f>
        <v>14656</v>
      </c>
      <c r="H33" s="106">
        <f>H31+H17</f>
        <v>17269</v>
      </c>
      <c r="I33" s="106">
        <f>I31+I17</f>
        <v>20953</v>
      </c>
      <c r="J33" s="106">
        <f>J31+J17</f>
        <v>28724</v>
      </c>
      <c r="K33" s="106">
        <f>K31+K17</f>
        <v>40738</v>
      </c>
    </row>
    <row r="34" spans="1:13" x14ac:dyDescent="0.2">
      <c r="B34" s="23" t="s">
        <v>271</v>
      </c>
      <c r="C34" s="23"/>
      <c r="D34" s="23"/>
      <c r="E34" s="23"/>
      <c r="F34" s="23"/>
      <c r="G34" s="106">
        <f>HistoricalFS!H33+HistoricalFS!H21</f>
        <v>3122</v>
      </c>
      <c r="H34" s="106">
        <f>HistoricalFS!I33+HistoricalFS!I21</f>
        <v>4747</v>
      </c>
      <c r="I34" s="106">
        <f>HistoricalFS!J33+HistoricalFS!J21</f>
        <v>5242</v>
      </c>
      <c r="J34" s="106">
        <f>HistoricalFS!K33+HistoricalFS!K21</f>
        <v>5488</v>
      </c>
      <c r="K34" s="106">
        <f>HistoricalFS!L33+HistoricalFS!L21</f>
        <v>7981</v>
      </c>
    </row>
    <row r="36" spans="1:13" ht="16" thickBot="1" x14ac:dyDescent="0.25">
      <c r="A36" t="s">
        <v>67</v>
      </c>
      <c r="B36" s="94" t="s">
        <v>313</v>
      </c>
      <c r="C36" s="95"/>
      <c r="D36" s="95"/>
      <c r="E36" s="95"/>
      <c r="F36" s="95"/>
      <c r="G36" s="103">
        <f>G34/G33</f>
        <v>0.21301855895196506</v>
      </c>
      <c r="H36" s="103">
        <f t="shared" ref="H36:K36" si="0">H34/H33</f>
        <v>0.27488563321558862</v>
      </c>
      <c r="I36" s="103">
        <f t="shared" si="0"/>
        <v>0.25017897198491862</v>
      </c>
      <c r="J36" s="103">
        <f t="shared" si="0"/>
        <v>0.19105974098314998</v>
      </c>
      <c r="K36" s="103">
        <f t="shared" si="0"/>
        <v>0.1959104521576906</v>
      </c>
    </row>
    <row r="38" spans="1:13" x14ac:dyDescent="0.2">
      <c r="B38" s="7" t="s">
        <v>314</v>
      </c>
      <c r="C38" s="7"/>
      <c r="D38" s="7"/>
      <c r="E38" s="7"/>
      <c r="F38" s="7"/>
      <c r="G38" s="8">
        <f>'Data Sheet'!G$57</f>
        <v>44651</v>
      </c>
      <c r="H38" s="8">
        <f>'Data Sheet'!H$57</f>
        <v>45016</v>
      </c>
      <c r="I38" s="8">
        <f>'Data Sheet'!I$57</f>
        <v>45382</v>
      </c>
      <c r="J38" s="8">
        <f>'Data Sheet'!J$57</f>
        <v>45747</v>
      </c>
      <c r="K38" s="8">
        <f>'Data Sheet'!K$57</f>
        <v>46112</v>
      </c>
    </row>
    <row r="40" spans="1:13" x14ac:dyDescent="0.2">
      <c r="B40" t="s">
        <v>324</v>
      </c>
      <c r="G40" s="41">
        <f>-SUM('cash flow data'!J13:J14)</f>
        <v>216</v>
      </c>
      <c r="H40" s="41">
        <f>-SUM('cash flow data'!K13:K14)</f>
        <v>420</v>
      </c>
      <c r="I40" s="41">
        <f>-SUM('cash flow data'!L13:L14)</f>
        <v>671</v>
      </c>
      <c r="J40" s="41">
        <f>-SUM('cash flow data'!M13:M14)</f>
        <v>470</v>
      </c>
      <c r="K40" s="41">
        <f>-SUM('cash flow data'!N13:N14)</f>
        <v>877</v>
      </c>
    </row>
    <row r="41" spans="1:13" x14ac:dyDescent="0.2">
      <c r="B41" t="s">
        <v>3</v>
      </c>
      <c r="G41" s="41">
        <f>'Data Sheet'!G27</f>
        <v>399</v>
      </c>
      <c r="H41" s="41">
        <f>'Data Sheet'!H27</f>
        <v>441</v>
      </c>
      <c r="I41" s="41">
        <f>'Data Sheet'!I27</f>
        <v>584</v>
      </c>
      <c r="J41" s="41">
        <f>'Data Sheet'!J27</f>
        <v>693</v>
      </c>
      <c r="K41" s="41">
        <f>'Data Sheet'!K27</f>
        <v>826</v>
      </c>
    </row>
    <row r="42" spans="1:13" x14ac:dyDescent="0.2">
      <c r="B42" s="23" t="s">
        <v>315</v>
      </c>
      <c r="C42" s="23"/>
      <c r="D42" s="23"/>
      <c r="E42" s="23"/>
      <c r="F42" s="23"/>
      <c r="G42" s="106">
        <f>G40-G41</f>
        <v>-183</v>
      </c>
      <c r="H42" s="106">
        <f t="shared" ref="H42:K42" si="1">H40-H41</f>
        <v>-21</v>
      </c>
      <c r="I42" s="106">
        <f t="shared" si="1"/>
        <v>87</v>
      </c>
      <c r="J42" s="106">
        <f t="shared" si="1"/>
        <v>-223</v>
      </c>
      <c r="K42" s="106">
        <f t="shared" si="1"/>
        <v>51</v>
      </c>
    </row>
    <row r="43" spans="1:13" x14ac:dyDescent="0.2">
      <c r="B43" s="23" t="s">
        <v>319</v>
      </c>
      <c r="C43" s="23"/>
      <c r="D43" s="23"/>
      <c r="E43" s="23"/>
      <c r="F43" s="23"/>
      <c r="G43" s="106"/>
      <c r="H43" s="106">
        <f>H17-G17</f>
        <v>2159</v>
      </c>
      <c r="I43" s="106">
        <f>I17-H17</f>
        <v>2973</v>
      </c>
      <c r="J43" s="106">
        <f>J17-I17</f>
        <v>7418</v>
      </c>
      <c r="K43" s="106">
        <f>K17-J17</f>
        <v>9198</v>
      </c>
    </row>
    <row r="45" spans="1:13" x14ac:dyDescent="0.2">
      <c r="B45" t="s">
        <v>271</v>
      </c>
      <c r="G45" s="41">
        <f>G34</f>
        <v>3122</v>
      </c>
      <c r="H45" s="41">
        <f t="shared" ref="H45:K45" si="2">H34</f>
        <v>4747</v>
      </c>
      <c r="I45" s="41">
        <f t="shared" si="2"/>
        <v>5242</v>
      </c>
      <c r="J45" s="41">
        <f t="shared" si="2"/>
        <v>5488</v>
      </c>
      <c r="K45" s="41">
        <f t="shared" si="2"/>
        <v>7981</v>
      </c>
      <c r="M45" s="31"/>
    </row>
    <row r="46" spans="1:13" x14ac:dyDescent="0.2">
      <c r="B46" t="s">
        <v>320</v>
      </c>
      <c r="G46" s="48">
        <f>WACC!$E$24</f>
        <v>0.25169999999999998</v>
      </c>
      <c r="H46" s="48">
        <f>WACC!$E$24</f>
        <v>0.25169999999999998</v>
      </c>
      <c r="I46" s="48">
        <f>WACC!$E$24</f>
        <v>0.25169999999999998</v>
      </c>
      <c r="J46" s="48">
        <f>WACC!$E$24</f>
        <v>0.25169999999999998</v>
      </c>
      <c r="K46" s="48">
        <f>WACC!$E$24</f>
        <v>0.25169999999999998</v>
      </c>
      <c r="M46" s="114"/>
    </row>
    <row r="47" spans="1:13" x14ac:dyDescent="0.2">
      <c r="B47" s="23" t="s">
        <v>322</v>
      </c>
      <c r="C47" s="23"/>
      <c r="D47" s="23"/>
      <c r="E47" s="23"/>
      <c r="F47" s="23"/>
      <c r="G47" s="106">
        <f>G45*(1-G46)</f>
        <v>2336.1925999999999</v>
      </c>
      <c r="H47" s="106">
        <f t="shared" ref="H47:K47" si="3">H45*(1-H46)</f>
        <v>3552.1801</v>
      </c>
      <c r="I47" s="106">
        <f t="shared" si="3"/>
        <v>3922.5886</v>
      </c>
      <c r="J47" s="106">
        <f t="shared" si="3"/>
        <v>4106.6704</v>
      </c>
      <c r="K47" s="106">
        <f t="shared" si="3"/>
        <v>5972.1822999999995</v>
      </c>
    </row>
    <row r="48" spans="1:13" x14ac:dyDescent="0.2">
      <c r="G48" s="41"/>
      <c r="H48" s="41"/>
      <c r="I48" s="41"/>
      <c r="J48" s="41"/>
      <c r="K48" s="41"/>
    </row>
    <row r="49" spans="1:11" x14ac:dyDescent="0.2">
      <c r="B49" t="s">
        <v>321</v>
      </c>
      <c r="G49" s="41"/>
      <c r="H49" s="41">
        <f>SUM(H42:H43)</f>
        <v>2138</v>
      </c>
      <c r="I49" s="41">
        <f t="shared" ref="I49:K49" si="4">SUM(I42:I43)</f>
        <v>3060</v>
      </c>
      <c r="J49" s="41">
        <f t="shared" si="4"/>
        <v>7195</v>
      </c>
      <c r="K49" s="41">
        <f t="shared" si="4"/>
        <v>9249</v>
      </c>
    </row>
    <row r="50" spans="1:11" x14ac:dyDescent="0.2">
      <c r="H50" s="46"/>
      <c r="I50" s="46"/>
      <c r="J50" s="46"/>
      <c r="K50" s="46"/>
    </row>
    <row r="51" spans="1:11" ht="16" thickBot="1" x14ac:dyDescent="0.25">
      <c r="A51" t="s">
        <v>67</v>
      </c>
      <c r="B51" s="94" t="s">
        <v>323</v>
      </c>
      <c r="C51" s="94"/>
      <c r="D51" s="94"/>
      <c r="E51" s="94"/>
      <c r="F51" s="94"/>
      <c r="G51" s="94"/>
      <c r="H51" s="103">
        <f>H49/H47</f>
        <v>0.60188389659634656</v>
      </c>
      <c r="I51" s="103">
        <f t="shared" ref="I51:K51" si="5">I49/I47</f>
        <v>0.78009710220439632</v>
      </c>
      <c r="J51" s="103">
        <f t="shared" si="5"/>
        <v>1.7520276280268317</v>
      </c>
      <c r="K51" s="103">
        <f t="shared" si="5"/>
        <v>1.5486801198282243</v>
      </c>
    </row>
    <row r="53" spans="1:11" x14ac:dyDescent="0.2">
      <c r="I53" s="23"/>
      <c r="J53" s="108" t="s">
        <v>325</v>
      </c>
      <c r="K53" s="109">
        <f>AVERAGE(H51:K51)</f>
        <v>1.1706721866639498</v>
      </c>
    </row>
    <row r="54" spans="1:11" x14ac:dyDescent="0.2">
      <c r="I54" s="23"/>
      <c r="J54" s="108" t="s">
        <v>326</v>
      </c>
      <c r="K54" s="109">
        <f>MEDIAN(H51:K51)</f>
        <v>1.1643886110163102</v>
      </c>
    </row>
    <row r="56" spans="1:11" x14ac:dyDescent="0.2">
      <c r="B56" s="7" t="s">
        <v>327</v>
      </c>
      <c r="C56" s="7"/>
      <c r="D56" s="7"/>
      <c r="E56" s="7"/>
      <c r="F56" s="7"/>
      <c r="G56" s="8">
        <f>'Data Sheet'!G$57</f>
        <v>44651</v>
      </c>
      <c r="H56" s="8">
        <f>'Data Sheet'!H$57</f>
        <v>45016</v>
      </c>
      <c r="I56" s="8">
        <f>'Data Sheet'!I$57</f>
        <v>45382</v>
      </c>
      <c r="J56" s="8">
        <f>'Data Sheet'!J$57</f>
        <v>45747</v>
      </c>
      <c r="K56" s="8">
        <f>'Data Sheet'!K$57</f>
        <v>46112</v>
      </c>
    </row>
    <row r="58" spans="1:11" x14ac:dyDescent="0.2">
      <c r="B58" t="str">
        <f>B51</f>
        <v>Reinvestment Rate</v>
      </c>
      <c r="H58" s="48">
        <f>H51</f>
        <v>0.60188389659634656</v>
      </c>
      <c r="I58" s="48">
        <f t="shared" ref="I58:K58" si="6">I51</f>
        <v>0.78009710220439632</v>
      </c>
      <c r="J58" s="48">
        <f t="shared" si="6"/>
        <v>1.7520276280268317</v>
      </c>
      <c r="K58" s="48">
        <f t="shared" si="6"/>
        <v>1.5486801198282243</v>
      </c>
    </row>
    <row r="59" spans="1:11" x14ac:dyDescent="0.2">
      <c r="B59" t="str">
        <f>B36</f>
        <v>ROIC</v>
      </c>
      <c r="H59" s="48">
        <f>H36</f>
        <v>0.27488563321558862</v>
      </c>
      <c r="I59" s="48">
        <f t="shared" ref="I59:K59" si="7">I36</f>
        <v>0.25017897198491862</v>
      </c>
      <c r="J59" s="48">
        <f t="shared" si="7"/>
        <v>0.19105974098314998</v>
      </c>
      <c r="K59" s="48">
        <f t="shared" si="7"/>
        <v>0.1959104521576906</v>
      </c>
    </row>
    <row r="61" spans="1:11" ht="16" thickBot="1" x14ac:dyDescent="0.25">
      <c r="A61" t="s">
        <v>67</v>
      </c>
      <c r="B61" s="94" t="s">
        <v>328</v>
      </c>
      <c r="C61" s="94"/>
      <c r="D61" s="94"/>
      <c r="E61" s="94"/>
      <c r="F61" s="94"/>
      <c r="G61" s="94"/>
      <c r="H61" s="105">
        <f>H59*H58</f>
        <v>0.16544923603815259</v>
      </c>
      <c r="I61" s="105">
        <f t="shared" ref="I61:K61" si="8">I59*I58</f>
        <v>0.19516389107790985</v>
      </c>
      <c r="J61" s="105">
        <f t="shared" si="8"/>
        <v>0.33474194480612912</v>
      </c>
      <c r="K61" s="105">
        <f t="shared" si="8"/>
        <v>0.30340262252317385</v>
      </c>
    </row>
    <row r="63" spans="1:11" x14ac:dyDescent="0.2">
      <c r="J63" s="108" t="s">
        <v>325</v>
      </c>
      <c r="K63" s="109">
        <f>AVERAGE(H61:K61)</f>
        <v>0.24968942361134133</v>
      </c>
    </row>
    <row r="64" spans="1:11" x14ac:dyDescent="0.2">
      <c r="J64" s="108" t="s">
        <v>326</v>
      </c>
      <c r="K64" s="109">
        <f>MEDIAN(H61:K61)</f>
        <v>0.24928325680054186</v>
      </c>
    </row>
  </sheetData>
  <sheetProtection sheet="1" objects="1" scenarios="1"/>
  <pageMargins left="0.7" right="0.7" top="0.75" bottom="0.75" header="0.3" footer="0.3"/>
  <pageSetup paperSize="9" orientation="portrait" horizontalDpi="0" verticalDpi="0"/>
  <ignoredErrors>
    <ignoredError sqref="G40:K40" formulaRange="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50AC8-CDC3-DA42-81A6-17DA98B4BF77}">
  <dimension ref="B2:O40"/>
  <sheetViews>
    <sheetView showGridLines="0" zoomScale="133" workbookViewId="0">
      <selection activeCell="K16" sqref="K16:O16"/>
    </sheetView>
  </sheetViews>
  <sheetFormatPr baseColWidth="10" defaultRowHeight="15" x14ac:dyDescent="0.2"/>
  <cols>
    <col min="1" max="1" width="2.1640625" customWidth="1"/>
    <col min="2" max="2" width="16.1640625" customWidth="1"/>
    <col min="3" max="3" width="6.83203125" customWidth="1"/>
    <col min="5" max="7" width="11.6640625" bestFit="1" customWidth="1"/>
    <col min="8" max="8" width="16.33203125" bestFit="1" customWidth="1"/>
    <col min="9" max="9" width="16.6640625" bestFit="1" customWidth="1"/>
    <col min="10" max="10" width="16.5" customWidth="1"/>
  </cols>
  <sheetData>
    <row r="2" spans="2:15" x14ac:dyDescent="0.2">
      <c r="B2" s="268" t="s">
        <v>1320</v>
      </c>
      <c r="C2" s="268"/>
      <c r="E2" s="268" t="s">
        <v>1324</v>
      </c>
      <c r="F2" s="268"/>
      <c r="H2" s="183" t="str">
        <f>B28</f>
        <v>Implied Target Price</v>
      </c>
      <c r="I2" s="183" t="str">
        <f>B30</f>
        <v>Implied Downside %</v>
      </c>
      <c r="J2" s="183" t="s">
        <v>1325</v>
      </c>
    </row>
    <row r="3" spans="2:15" ht="5" customHeight="1" x14ac:dyDescent="0.2">
      <c r="J3" s="10"/>
    </row>
    <row r="4" spans="2:15" ht="19" x14ac:dyDescent="0.25">
      <c r="B4" t="s">
        <v>1318</v>
      </c>
      <c r="C4" s="175">
        <v>0.15</v>
      </c>
      <c r="E4" s="224">
        <f>Teaser!B11</f>
        <v>5169</v>
      </c>
      <c r="F4" s="225" t="str">
        <f>Teaser!C11</f>
        <v>(28th August, 2026 - close price)</v>
      </c>
      <c r="H4" s="224">
        <f>F28</f>
        <v>5088.267357512952</v>
      </c>
      <c r="I4" s="226">
        <f>F30</f>
        <v>-1.5618619169481152E-2</v>
      </c>
      <c r="J4" s="227" t="s">
        <v>1326</v>
      </c>
    </row>
    <row r="5" spans="2:15" x14ac:dyDescent="0.2">
      <c r="B5" t="s">
        <v>1319</v>
      </c>
      <c r="C5" s="175">
        <v>0.1</v>
      </c>
    </row>
    <row r="6" spans="2:15" x14ac:dyDescent="0.2">
      <c r="B6" t="s">
        <v>84</v>
      </c>
      <c r="C6" s="175">
        <v>0.06</v>
      </c>
    </row>
    <row r="7" spans="2:15" x14ac:dyDescent="0.2">
      <c r="B7" s="35" t="s">
        <v>1323</v>
      </c>
      <c r="C7" s="223">
        <v>65</v>
      </c>
    </row>
    <row r="10" spans="2:15" x14ac:dyDescent="0.2">
      <c r="B10" s="268" t="str">
        <f>"5 Year Forecast - "&amp;'Data Sheet'!B2</f>
        <v>5 Year Forecast - TITAN COMPANY LTD</v>
      </c>
      <c r="C10" s="268"/>
      <c r="D10" s="268"/>
      <c r="E10" s="268"/>
      <c r="F10" s="268"/>
      <c r="G10" s="268"/>
      <c r="H10" s="268"/>
      <c r="I10" s="268"/>
    </row>
    <row r="11" spans="2:15" x14ac:dyDescent="0.2">
      <c r="B11" s="110"/>
      <c r="C11" s="110"/>
      <c r="D11" s="111">
        <f>'Intrinsic Growth'!K2</f>
        <v>46112</v>
      </c>
      <c r="E11" s="112">
        <f>D11+365</f>
        <v>46477</v>
      </c>
      <c r="F11" s="112">
        <f t="shared" ref="F11:I11" si="0">E11+365</f>
        <v>46842</v>
      </c>
      <c r="G11" s="112">
        <f t="shared" si="0"/>
        <v>47207</v>
      </c>
      <c r="H11" s="112">
        <f>G11+365</f>
        <v>47572</v>
      </c>
      <c r="I11" s="112">
        <f t="shared" si="0"/>
        <v>47937</v>
      </c>
    </row>
    <row r="13" spans="2:15" x14ac:dyDescent="0.2">
      <c r="B13" t="s">
        <v>2</v>
      </c>
      <c r="D13" s="41">
        <f>HistoricalFS!L6</f>
        <v>87584</v>
      </c>
      <c r="E13" s="113">
        <f>D13*(1+E14)</f>
        <v>100721.59999999999</v>
      </c>
      <c r="F13" s="113">
        <f t="shared" ref="F13:I13" si="1">E13*(1+F14)</f>
        <v>115829.83999999998</v>
      </c>
      <c r="G13" s="113">
        <f t="shared" si="1"/>
        <v>133204.31599999996</v>
      </c>
      <c r="H13" s="113">
        <f t="shared" si="1"/>
        <v>153184.96339999995</v>
      </c>
      <c r="I13" s="113">
        <f t="shared" si="1"/>
        <v>176162.70790999994</v>
      </c>
    </row>
    <row r="14" spans="2:15" x14ac:dyDescent="0.2">
      <c r="B14" s="15" t="s">
        <v>1317</v>
      </c>
      <c r="C14" s="15"/>
      <c r="E14" s="218">
        <f>$C$4</f>
        <v>0.15</v>
      </c>
      <c r="F14" s="218">
        <f t="shared" ref="F14:I14" si="2">$C$4</f>
        <v>0.15</v>
      </c>
      <c r="G14" s="218">
        <f t="shared" si="2"/>
        <v>0.15</v>
      </c>
      <c r="H14" s="218">
        <f t="shared" si="2"/>
        <v>0.15</v>
      </c>
      <c r="I14" s="218">
        <f t="shared" si="2"/>
        <v>0.15</v>
      </c>
    </row>
    <row r="16" spans="2:15" x14ac:dyDescent="0.2">
      <c r="B16" t="s">
        <v>75</v>
      </c>
      <c r="D16" s="113">
        <f>HistoricalFS!L18</f>
        <v>8357</v>
      </c>
      <c r="E16" s="113">
        <f>E13*E17</f>
        <v>10072.16</v>
      </c>
      <c r="F16" s="113">
        <f t="shared" ref="F16:I16" si="3">F13*F17</f>
        <v>11582.983999999999</v>
      </c>
      <c r="G16" s="113">
        <f t="shared" si="3"/>
        <v>13320.431599999996</v>
      </c>
      <c r="H16" s="113">
        <f t="shared" si="3"/>
        <v>15318.496339999996</v>
      </c>
      <c r="I16" s="113">
        <f t="shared" si="3"/>
        <v>17616.270790999995</v>
      </c>
      <c r="K16" s="113"/>
      <c r="L16" s="113"/>
      <c r="M16" s="113"/>
      <c r="N16" s="113"/>
      <c r="O16" s="113"/>
    </row>
    <row r="17" spans="2:9" x14ac:dyDescent="0.2">
      <c r="B17" s="15" t="s">
        <v>138</v>
      </c>
      <c r="D17" s="218">
        <f>HistoricalFS!L19</f>
        <v>9.5416971136280601E-2</v>
      </c>
      <c r="E17" s="218">
        <f>$C$5</f>
        <v>0.1</v>
      </c>
      <c r="F17" s="218">
        <f t="shared" ref="F17:I17" si="4">$C$5</f>
        <v>0.1</v>
      </c>
      <c r="G17" s="218">
        <f t="shared" si="4"/>
        <v>0.1</v>
      </c>
      <c r="H17" s="218">
        <f t="shared" si="4"/>
        <v>0.1</v>
      </c>
      <c r="I17" s="218">
        <f t="shared" si="4"/>
        <v>0.1</v>
      </c>
    </row>
    <row r="19" spans="2:9" x14ac:dyDescent="0.2">
      <c r="B19" t="s">
        <v>83</v>
      </c>
      <c r="D19" s="113">
        <f>HistoricalFS!L39</f>
        <v>5073</v>
      </c>
      <c r="E19" s="113">
        <f>E13*E20</f>
        <v>6043.2959999999994</v>
      </c>
      <c r="F19" s="113">
        <f t="shared" ref="F19:I19" si="5">F13*F20</f>
        <v>6949.790399999999</v>
      </c>
      <c r="G19" s="113">
        <f t="shared" si="5"/>
        <v>7992.2589599999974</v>
      </c>
      <c r="H19" s="113">
        <f t="shared" si="5"/>
        <v>9191.0978039999973</v>
      </c>
      <c r="I19" s="113">
        <f t="shared" si="5"/>
        <v>10569.762474599996</v>
      </c>
    </row>
    <row r="20" spans="2:9" x14ac:dyDescent="0.2">
      <c r="B20" s="15" t="s">
        <v>84</v>
      </c>
      <c r="D20" s="218">
        <f>HistoricalFS!L40</f>
        <v>5.792153818048959E-2</v>
      </c>
      <c r="E20" s="218">
        <f>$C$6</f>
        <v>0.06</v>
      </c>
      <c r="F20" s="218">
        <f t="shared" ref="F20:I20" si="6">$C$6</f>
        <v>0.06</v>
      </c>
      <c r="G20" s="218">
        <f t="shared" si="6"/>
        <v>0.06</v>
      </c>
      <c r="H20" s="218">
        <f t="shared" si="6"/>
        <v>0.06</v>
      </c>
      <c r="I20" s="218">
        <f t="shared" si="6"/>
        <v>0.06</v>
      </c>
    </row>
    <row r="22" spans="2:9" x14ac:dyDescent="0.2">
      <c r="B22" t="str">
        <f>HistoricalFS!B42</f>
        <v>Equity shares outstanding</v>
      </c>
      <c r="D22" s="46">
        <f>HistoricalFS!L42</f>
        <v>88.78</v>
      </c>
      <c r="E22" s="46">
        <f>$D$22</f>
        <v>88.78</v>
      </c>
      <c r="F22" s="46">
        <f t="shared" ref="F22:I22" si="7">$D$22</f>
        <v>88.78</v>
      </c>
      <c r="G22" s="46">
        <f t="shared" si="7"/>
        <v>88.78</v>
      </c>
      <c r="H22" s="46">
        <f t="shared" si="7"/>
        <v>88.78</v>
      </c>
      <c r="I22" s="46">
        <f t="shared" si="7"/>
        <v>88.78</v>
      </c>
    </row>
    <row r="24" spans="2:9" x14ac:dyDescent="0.2">
      <c r="B24" t="s">
        <v>85</v>
      </c>
      <c r="D24" s="113">
        <f>HistoricalFS!L44</f>
        <v>57.141248028835321</v>
      </c>
      <c r="E24" s="113">
        <f>E19/E22</f>
        <v>68.070466321243515</v>
      </c>
      <c r="F24" s="113">
        <f t="shared" ref="F24:I24" si="8">F19/F22</f>
        <v>78.281036269430032</v>
      </c>
      <c r="G24" s="113">
        <f t="shared" si="8"/>
        <v>90.023191709844525</v>
      </c>
      <c r="H24" s="113">
        <f t="shared" si="8"/>
        <v>103.52667046632121</v>
      </c>
      <c r="I24" s="113">
        <f t="shared" si="8"/>
        <v>119.05567103626939</v>
      </c>
    </row>
    <row r="26" spans="2:9" x14ac:dyDescent="0.2">
      <c r="B26" t="s">
        <v>1321</v>
      </c>
      <c r="E26" s="219">
        <f>$C$7</f>
        <v>65</v>
      </c>
      <c r="F26" s="219">
        <f t="shared" ref="F26:I26" si="9">$C$7</f>
        <v>65</v>
      </c>
      <c r="G26" s="219">
        <f t="shared" si="9"/>
        <v>65</v>
      </c>
      <c r="H26" s="219">
        <f t="shared" si="9"/>
        <v>65</v>
      </c>
      <c r="I26" s="219">
        <f t="shared" si="9"/>
        <v>65</v>
      </c>
    </row>
    <row r="28" spans="2:9" x14ac:dyDescent="0.2">
      <c r="B28" s="24" t="s">
        <v>1322</v>
      </c>
      <c r="C28" s="24"/>
      <c r="D28" s="24"/>
      <c r="E28" s="220">
        <f>E24*E26</f>
        <v>4424.5803108808286</v>
      </c>
      <c r="F28" s="221">
        <f t="shared" ref="F28:I28" si="10">F24*F26</f>
        <v>5088.267357512952</v>
      </c>
      <c r="G28" s="220">
        <f t="shared" si="10"/>
        <v>5851.5074611398941</v>
      </c>
      <c r="H28" s="220">
        <f t="shared" si="10"/>
        <v>6729.2335803108781</v>
      </c>
      <c r="I28" s="220">
        <f t="shared" si="10"/>
        <v>7738.6186173575106</v>
      </c>
    </row>
    <row r="30" spans="2:9" x14ac:dyDescent="0.2">
      <c r="B30" s="24" t="str">
        <f>IF(F30&lt;0, "Implied Downside %", "Implied Upside %")</f>
        <v>Implied Downside %</v>
      </c>
      <c r="C30" s="24"/>
      <c r="D30" s="24"/>
      <c r="E30" s="24"/>
      <c r="F30" s="222">
        <f>(F28/E4)-1</f>
        <v>-1.5618619169481152E-2</v>
      </c>
    </row>
    <row r="33" spans="2:8" x14ac:dyDescent="0.2">
      <c r="B33" s="268" t="s">
        <v>403</v>
      </c>
      <c r="C33" s="268"/>
      <c r="D33" s="268"/>
      <c r="E33" s="268"/>
      <c r="F33" s="268"/>
      <c r="G33" s="268"/>
      <c r="H33" s="268"/>
    </row>
    <row r="34" spans="2:8" x14ac:dyDescent="0.2">
      <c r="B34" s="232"/>
      <c r="D34" s="280" t="s">
        <v>84</v>
      </c>
      <c r="E34" s="280"/>
      <c r="F34" s="280"/>
      <c r="G34" s="280"/>
      <c r="H34" s="281"/>
    </row>
    <row r="35" spans="2:8" ht="15" customHeight="1" x14ac:dyDescent="0.2">
      <c r="B35" s="232"/>
      <c r="C35" s="113"/>
      <c r="D35" s="48">
        <f>C6-0.04</f>
        <v>1.9999999999999997E-2</v>
      </c>
      <c r="E35" s="48">
        <f>C6-0.02</f>
        <v>3.9999999999999994E-2</v>
      </c>
      <c r="F35" s="104">
        <f>C6</f>
        <v>0.06</v>
      </c>
      <c r="G35" s="48">
        <f>C6+0.02</f>
        <v>0.08</v>
      </c>
      <c r="H35" s="233">
        <f>C6+0.04</f>
        <v>0.1</v>
      </c>
    </row>
    <row r="36" spans="2:8" x14ac:dyDescent="0.2">
      <c r="B36" s="278" t="s">
        <v>1322</v>
      </c>
      <c r="C36" s="219">
        <f>C7-10</f>
        <v>55</v>
      </c>
      <c r="D36" s="46">
        <f t="shared" ref="D36:H40" si="11">($F$13*D$35/$F$22)*$C36</f>
        <v>1435.1523316062173</v>
      </c>
      <c r="E36" s="46">
        <f t="shared" si="11"/>
        <v>2870.3046632124347</v>
      </c>
      <c r="F36" s="46">
        <f t="shared" si="11"/>
        <v>4305.4569948186518</v>
      </c>
      <c r="G36" s="46">
        <f t="shared" si="11"/>
        <v>5740.6093264248702</v>
      </c>
      <c r="H36" s="234">
        <f t="shared" si="11"/>
        <v>7175.7616580310869</v>
      </c>
    </row>
    <row r="37" spans="2:8" x14ac:dyDescent="0.2">
      <c r="B37" s="278"/>
      <c r="C37" s="219">
        <f>C7-5</f>
        <v>60</v>
      </c>
      <c r="D37" s="46">
        <f t="shared" si="11"/>
        <v>1565.6207253886007</v>
      </c>
      <c r="E37" s="46">
        <f t="shared" si="11"/>
        <v>3131.2414507772014</v>
      </c>
      <c r="F37" s="46">
        <f t="shared" si="11"/>
        <v>4696.8621761658023</v>
      </c>
      <c r="G37" s="46">
        <f t="shared" si="11"/>
        <v>6262.4829015544037</v>
      </c>
      <c r="H37" s="234">
        <f t="shared" si="11"/>
        <v>7828.1036269430042</v>
      </c>
    </row>
    <row r="38" spans="2:8" x14ac:dyDescent="0.2">
      <c r="B38" s="278"/>
      <c r="C38" s="219">
        <f>C7</f>
        <v>65</v>
      </c>
      <c r="D38" s="46">
        <f t="shared" si="11"/>
        <v>1696.0891191709841</v>
      </c>
      <c r="E38" s="46">
        <f t="shared" si="11"/>
        <v>3392.1782383419682</v>
      </c>
      <c r="F38" s="180">
        <f t="shared" si="11"/>
        <v>5088.267357512952</v>
      </c>
      <c r="G38" s="46">
        <f t="shared" si="11"/>
        <v>6784.3564766839372</v>
      </c>
      <c r="H38" s="234">
        <f t="shared" si="11"/>
        <v>8480.4455958549206</v>
      </c>
    </row>
    <row r="39" spans="2:8" x14ac:dyDescent="0.2">
      <c r="B39" s="278"/>
      <c r="C39" s="219">
        <f>C7+5</f>
        <v>70</v>
      </c>
      <c r="D39" s="46">
        <f t="shared" si="11"/>
        <v>1826.5575129533674</v>
      </c>
      <c r="E39" s="46">
        <f t="shared" si="11"/>
        <v>3653.1150259067349</v>
      </c>
      <c r="F39" s="46">
        <f t="shared" si="11"/>
        <v>5479.6725388601026</v>
      </c>
      <c r="G39" s="46">
        <f t="shared" si="11"/>
        <v>7306.2300518134707</v>
      </c>
      <c r="H39" s="234">
        <f t="shared" si="11"/>
        <v>9132.7875647668388</v>
      </c>
    </row>
    <row r="40" spans="2:8" x14ac:dyDescent="0.2">
      <c r="B40" s="279"/>
      <c r="C40" s="235">
        <f>C7+10</f>
        <v>75</v>
      </c>
      <c r="D40" s="62">
        <f t="shared" si="11"/>
        <v>1957.0259067357508</v>
      </c>
      <c r="E40" s="62">
        <f t="shared" si="11"/>
        <v>3914.0518134715016</v>
      </c>
      <c r="F40" s="62">
        <f t="shared" si="11"/>
        <v>5871.0777202072522</v>
      </c>
      <c r="G40" s="62">
        <f t="shared" si="11"/>
        <v>7828.1036269430042</v>
      </c>
      <c r="H40" s="236">
        <f t="shared" si="11"/>
        <v>9785.1295336787553</v>
      </c>
    </row>
  </sheetData>
  <sheetProtection sheet="1" objects="1" scenarios="1"/>
  <mergeCells count="6">
    <mergeCell ref="B36:B40"/>
    <mergeCell ref="D34:H34"/>
    <mergeCell ref="B10:I10"/>
    <mergeCell ref="B2:C2"/>
    <mergeCell ref="E2:F2"/>
    <mergeCell ref="B33:H33"/>
  </mergeCells>
  <pageMargins left="0.7" right="0.7" top="0.75" bottom="0.75" header="0.3" footer="0.3"/>
  <pageSetup paperSize="9"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11456-36C5-7F44-8405-918FF1CC11FA}">
  <dimension ref="B3:N34"/>
  <sheetViews>
    <sheetView showGridLines="0" topLeftCell="A2" zoomScale="125" workbookViewId="0">
      <selection activeCell="O28" sqref="O28"/>
    </sheetView>
  </sheetViews>
  <sheetFormatPr baseColWidth="10" defaultRowHeight="15" x14ac:dyDescent="0.2"/>
  <cols>
    <col min="1" max="1" width="2" customWidth="1"/>
    <col min="2" max="2" width="18" customWidth="1"/>
    <col min="3" max="3" width="11.33203125" bestFit="1" customWidth="1"/>
    <col min="4" max="4" width="12" bestFit="1" customWidth="1"/>
    <col min="5" max="5" width="11.33203125" bestFit="1" customWidth="1"/>
    <col min="6" max="6" width="12" bestFit="1" customWidth="1"/>
    <col min="7" max="7" width="1" customWidth="1"/>
    <col min="8" max="8" width="11.33203125" bestFit="1" customWidth="1"/>
    <col min="9" max="9" width="12" bestFit="1" customWidth="1"/>
    <col min="10" max="10" width="11.83203125" bestFit="1" customWidth="1"/>
    <col min="11" max="11" width="1.33203125" customWidth="1"/>
    <col min="12" max="12" width="11.1640625" bestFit="1" customWidth="1"/>
    <col min="13" max="13" width="12" bestFit="1" customWidth="1"/>
    <col min="14" max="14" width="11.83203125" bestFit="1" customWidth="1"/>
  </cols>
  <sheetData>
    <row r="3" spans="2:14" x14ac:dyDescent="0.2">
      <c r="B3" s="268" t="s">
        <v>1356</v>
      </c>
      <c r="C3" s="268"/>
      <c r="D3" s="268"/>
      <c r="E3" s="268"/>
      <c r="F3" s="268"/>
      <c r="G3" s="268"/>
      <c r="H3" s="268"/>
      <c r="I3" s="268"/>
      <c r="J3" s="268"/>
      <c r="K3" s="268"/>
      <c r="L3" s="268"/>
      <c r="M3" s="268"/>
      <c r="N3" s="268"/>
    </row>
    <row r="5" spans="2:14" x14ac:dyDescent="0.2">
      <c r="B5" s="110" t="s">
        <v>1320</v>
      </c>
      <c r="C5" s="183" t="s">
        <v>1357</v>
      </c>
      <c r="D5" s="183" t="s">
        <v>1358</v>
      </c>
      <c r="E5" s="183" t="s">
        <v>1359</v>
      </c>
      <c r="H5" s="268" t="s">
        <v>1324</v>
      </c>
      <c r="I5" s="268"/>
      <c r="L5" s="268" t="s">
        <v>1363</v>
      </c>
      <c r="M5" s="268"/>
      <c r="N5" s="268"/>
    </row>
    <row r="6" spans="2:14" ht="19" x14ac:dyDescent="0.25">
      <c r="B6" t="s">
        <v>1318</v>
      </c>
      <c r="C6" s="20">
        <f>D6-0.04</f>
        <v>0.10999999999999999</v>
      </c>
      <c r="D6" s="104">
        <f>'P E Valuation'!C4</f>
        <v>0.15</v>
      </c>
      <c r="E6" s="20">
        <f>D6+0.04</f>
        <v>0.19</v>
      </c>
      <c r="H6" s="224">
        <f>'P E Valuation'!E4</f>
        <v>5169</v>
      </c>
      <c r="I6" s="225" t="str">
        <f>'P E Valuation'!F4</f>
        <v>(28th August, 2026 - close price)</v>
      </c>
      <c r="L6" t="s">
        <v>1364</v>
      </c>
      <c r="N6" s="118">
        <f>(F32*C10)+(J32*D10)+(N32*E10)</f>
        <v>5141.062663212434</v>
      </c>
    </row>
    <row r="7" spans="2:14" x14ac:dyDescent="0.2">
      <c r="B7" t="s">
        <v>1319</v>
      </c>
      <c r="C7" s="20">
        <f>D7-0.02</f>
        <v>0.08</v>
      </c>
      <c r="D7" s="104">
        <f>'P E Valuation'!C5</f>
        <v>0.1</v>
      </c>
      <c r="E7" s="20">
        <f>D7+0.02</f>
        <v>0.12000000000000001</v>
      </c>
      <c r="L7" t="s">
        <v>1365</v>
      </c>
      <c r="N7" s="196">
        <f>N6/H6-1</f>
        <v>-5.4047856040947417E-3</v>
      </c>
    </row>
    <row r="8" spans="2:14" x14ac:dyDescent="0.2">
      <c r="B8" t="s">
        <v>84</v>
      </c>
      <c r="C8" s="20">
        <f>D8-0.03</f>
        <v>0.03</v>
      </c>
      <c r="D8" s="104">
        <f>'P E Valuation'!C6</f>
        <v>0.06</v>
      </c>
      <c r="E8" s="20">
        <f>D8+0.02</f>
        <v>0.08</v>
      </c>
      <c r="L8" s="35" t="s">
        <v>1366</v>
      </c>
      <c r="M8" s="35"/>
      <c r="N8" s="254">
        <f>(N32-H6)/(H6-F32)</f>
        <v>1.015715872355349</v>
      </c>
    </row>
    <row r="9" spans="2:14" x14ac:dyDescent="0.2">
      <c r="B9" t="s">
        <v>1323</v>
      </c>
      <c r="C9" s="219">
        <f>D9-10</f>
        <v>55</v>
      </c>
      <c r="D9" s="219">
        <f>'P E Valuation'!C7</f>
        <v>65</v>
      </c>
      <c r="E9" s="219">
        <f>D9+10</f>
        <v>75</v>
      </c>
    </row>
    <row r="10" spans="2:14" x14ac:dyDescent="0.2">
      <c r="B10" s="35" t="s">
        <v>1360</v>
      </c>
      <c r="C10" s="252">
        <f>D10-0.25</f>
        <v>0.25</v>
      </c>
      <c r="D10" s="253">
        <v>0.5</v>
      </c>
      <c r="E10" s="252">
        <f>D10-0.25</f>
        <v>0.25</v>
      </c>
    </row>
    <row r="12" spans="2:14" x14ac:dyDescent="0.2">
      <c r="B12" s="268" t="str">
        <f>"Scenario Matrix - "&amp;'Data Sheet'!B2</f>
        <v>Scenario Matrix - TITAN COMPANY LTD</v>
      </c>
      <c r="C12" s="268"/>
      <c r="D12" s="268"/>
      <c r="E12" s="268"/>
      <c r="F12" s="268"/>
      <c r="G12" s="268"/>
      <c r="H12" s="268"/>
      <c r="I12" s="268"/>
      <c r="J12" s="268"/>
      <c r="K12" s="268"/>
      <c r="L12" s="268"/>
      <c r="M12" s="268"/>
      <c r="N12" s="268"/>
    </row>
    <row r="13" spans="2:14" x14ac:dyDescent="0.2">
      <c r="B13" s="183"/>
      <c r="C13" s="183"/>
      <c r="D13" s="282" t="s">
        <v>1361</v>
      </c>
      <c r="E13" s="282"/>
      <c r="F13" s="282"/>
      <c r="G13" s="183"/>
      <c r="H13" s="282" t="s">
        <v>1358</v>
      </c>
      <c r="I13" s="282"/>
      <c r="J13" s="282"/>
      <c r="K13" s="183"/>
      <c r="L13" s="282" t="s">
        <v>1359</v>
      </c>
      <c r="M13" s="282"/>
      <c r="N13" s="282"/>
    </row>
    <row r="14" spans="2:14" ht="5" customHeight="1" x14ac:dyDescent="0.2">
      <c r="B14" s="183"/>
      <c r="C14" s="183"/>
      <c r="D14" s="183"/>
      <c r="E14" s="183"/>
      <c r="F14" s="183"/>
      <c r="G14" s="183"/>
      <c r="H14" s="183"/>
      <c r="I14" s="183"/>
      <c r="J14" s="183"/>
      <c r="K14" s="183"/>
      <c r="L14" s="183"/>
      <c r="M14" s="183"/>
      <c r="N14" s="183"/>
    </row>
    <row r="15" spans="2:14" x14ac:dyDescent="0.2">
      <c r="B15" s="110"/>
      <c r="C15" s="110"/>
      <c r="D15" s="111">
        <f>'P E Valuation'!D11</f>
        <v>46112</v>
      </c>
      <c r="E15" s="112">
        <f>'P E Valuation'!E11</f>
        <v>46477</v>
      </c>
      <c r="F15" s="250">
        <f>'P E Valuation'!F11</f>
        <v>46842</v>
      </c>
      <c r="G15" s="112"/>
      <c r="H15" s="111">
        <f>D15</f>
        <v>46112</v>
      </c>
      <c r="I15" s="112">
        <f t="shared" ref="I15:J15" si="0">E15</f>
        <v>46477</v>
      </c>
      <c r="J15" s="250">
        <f t="shared" si="0"/>
        <v>46842</v>
      </c>
      <c r="K15" s="112"/>
      <c r="L15" s="111">
        <f>H15</f>
        <v>46112</v>
      </c>
      <c r="M15" s="112">
        <f t="shared" ref="M15" si="1">I15</f>
        <v>46477</v>
      </c>
      <c r="N15" s="112">
        <f t="shared" ref="N15" si="2">J15</f>
        <v>46842</v>
      </c>
    </row>
    <row r="17" spans="2:14" x14ac:dyDescent="0.2">
      <c r="B17" t="s">
        <v>2</v>
      </c>
      <c r="D17" s="41">
        <f>HistoricalFS!$L$6</f>
        <v>87584</v>
      </c>
      <c r="E17" s="113">
        <f>D17*(1+E18)</f>
        <v>97218.239999999991</v>
      </c>
      <c r="F17" s="113">
        <f>E17*(1+F18)</f>
        <v>107912.24639999997</v>
      </c>
      <c r="G17" s="113"/>
      <c r="H17" s="41">
        <f>HistoricalFS!$L$6</f>
        <v>87584</v>
      </c>
      <c r="I17" s="113">
        <f>H17*(1+I18)</f>
        <v>100721.59999999999</v>
      </c>
      <c r="J17" s="113">
        <f>I17*(1+J18)</f>
        <v>115829.83999999998</v>
      </c>
      <c r="K17" s="113"/>
      <c r="L17" s="41">
        <f>HistoricalFS!$L$6</f>
        <v>87584</v>
      </c>
      <c r="M17" s="113">
        <f>L17*(1+M18)</f>
        <v>104224.95999999999</v>
      </c>
      <c r="N17" s="113">
        <f>M17*(1+N18)</f>
        <v>124027.70239999998</v>
      </c>
    </row>
    <row r="18" spans="2:14" x14ac:dyDescent="0.2">
      <c r="B18" s="15" t="s">
        <v>1317</v>
      </c>
      <c r="C18" s="15"/>
      <c r="D18" s="218">
        <f>HistoricalFS!$L$7</f>
        <v>0.448723038242689</v>
      </c>
      <c r="E18" s="218">
        <f>$C$6</f>
        <v>0.10999999999999999</v>
      </c>
      <c r="F18" s="255">
        <f>$C$6</f>
        <v>0.10999999999999999</v>
      </c>
      <c r="G18" s="255"/>
      <c r="H18" s="218">
        <f>HistoricalFS!$L$7</f>
        <v>0.448723038242689</v>
      </c>
      <c r="I18" s="218">
        <f>$D$6</f>
        <v>0.15</v>
      </c>
      <c r="J18" s="255">
        <f>$D$6</f>
        <v>0.15</v>
      </c>
      <c r="K18" s="255"/>
      <c r="L18" s="218">
        <f>HistoricalFS!$L$7</f>
        <v>0.448723038242689</v>
      </c>
      <c r="M18" s="218">
        <f>$E$6</f>
        <v>0.19</v>
      </c>
      <c r="N18" s="255">
        <f>$E$6</f>
        <v>0.19</v>
      </c>
    </row>
    <row r="20" spans="2:14" x14ac:dyDescent="0.2">
      <c r="B20" t="s">
        <v>75</v>
      </c>
      <c r="D20" s="41">
        <f>HistoricalFS!$L$18</f>
        <v>8357</v>
      </c>
      <c r="E20" s="113">
        <f>E17*E21</f>
        <v>7777.4591999999993</v>
      </c>
      <c r="F20" s="113">
        <f>F17*F21</f>
        <v>8632.9797119999985</v>
      </c>
      <c r="G20" s="113"/>
      <c r="H20" s="41">
        <f>HistoricalFS!$L$18</f>
        <v>8357</v>
      </c>
      <c r="I20" s="113">
        <f>I17*I21</f>
        <v>10072.16</v>
      </c>
      <c r="J20" s="113">
        <f>J17*J21</f>
        <v>11582.983999999999</v>
      </c>
      <c r="K20" s="113"/>
      <c r="L20" s="41">
        <f>HistoricalFS!$L$18</f>
        <v>8357</v>
      </c>
      <c r="M20" s="113">
        <f>M17*M21</f>
        <v>12506.995199999999</v>
      </c>
      <c r="N20" s="113">
        <f>N17*N21</f>
        <v>14883.324287999998</v>
      </c>
    </row>
    <row r="21" spans="2:14" x14ac:dyDescent="0.2">
      <c r="B21" s="15" t="s">
        <v>138</v>
      </c>
      <c r="D21" s="218">
        <f>HistoricalFS!$L$19</f>
        <v>9.5416971136280601E-2</v>
      </c>
      <c r="E21" s="218">
        <f>$C$7</f>
        <v>0.08</v>
      </c>
      <c r="F21" s="255">
        <f>$C$7</f>
        <v>0.08</v>
      </c>
      <c r="G21" s="255"/>
      <c r="H21" s="218">
        <f>HistoricalFS!$L$19</f>
        <v>9.5416971136280601E-2</v>
      </c>
      <c r="I21" s="218">
        <f>$D$7</f>
        <v>0.1</v>
      </c>
      <c r="J21" s="255">
        <f>$D$7</f>
        <v>0.1</v>
      </c>
      <c r="K21" s="255"/>
      <c r="L21" s="218">
        <f>HistoricalFS!$L$19</f>
        <v>9.5416971136280601E-2</v>
      </c>
      <c r="M21" s="104">
        <f>$E$7</f>
        <v>0.12000000000000001</v>
      </c>
      <c r="N21" s="104">
        <f>$E$7</f>
        <v>0.12000000000000001</v>
      </c>
    </row>
    <row r="23" spans="2:14" x14ac:dyDescent="0.2">
      <c r="B23" t="s">
        <v>83</v>
      </c>
      <c r="D23" s="41">
        <f>HistoricalFS!$L$39</f>
        <v>5073</v>
      </c>
      <c r="E23" s="113">
        <f>E17*E24</f>
        <v>2916.5471999999995</v>
      </c>
      <c r="F23" s="113">
        <f>F17*F24</f>
        <v>3237.3673919999992</v>
      </c>
      <c r="G23" s="113"/>
      <c r="H23" s="41">
        <f>HistoricalFS!$L$39</f>
        <v>5073</v>
      </c>
      <c r="I23" s="113">
        <f>I17*I24</f>
        <v>6043.2959999999994</v>
      </c>
      <c r="J23" s="113">
        <f>J17*J24</f>
        <v>6949.790399999999</v>
      </c>
      <c r="K23" s="113"/>
      <c r="L23" s="41">
        <f>HistoricalFS!$L$39</f>
        <v>5073</v>
      </c>
      <c r="M23" s="113">
        <f>M17*M24</f>
        <v>8337.996799999999</v>
      </c>
      <c r="N23" s="113">
        <f>N17*N24</f>
        <v>9922.216191999998</v>
      </c>
    </row>
    <row r="24" spans="2:14" x14ac:dyDescent="0.2">
      <c r="B24" s="15" t="s">
        <v>84</v>
      </c>
      <c r="D24" s="218">
        <f>HistoricalFS!$L$40</f>
        <v>5.792153818048959E-2</v>
      </c>
      <c r="E24" s="218">
        <f>$C$8</f>
        <v>0.03</v>
      </c>
      <c r="F24" s="255">
        <f>$C$8</f>
        <v>0.03</v>
      </c>
      <c r="G24" s="255"/>
      <c r="H24" s="218">
        <f>HistoricalFS!$L$40</f>
        <v>5.792153818048959E-2</v>
      </c>
      <c r="I24" s="218">
        <f>$D$8</f>
        <v>0.06</v>
      </c>
      <c r="J24" s="255">
        <f>$D$8</f>
        <v>0.06</v>
      </c>
      <c r="K24" s="255"/>
      <c r="L24" s="218">
        <f>HistoricalFS!$L$40</f>
        <v>5.792153818048959E-2</v>
      </c>
      <c r="M24" s="218">
        <f>$E$8</f>
        <v>0.08</v>
      </c>
      <c r="N24" s="255">
        <f>$E$8</f>
        <v>0.08</v>
      </c>
    </row>
    <row r="26" spans="2:14" x14ac:dyDescent="0.2">
      <c r="B26" t="str">
        <f>'P E Valuation'!B22</f>
        <v>Equity shares outstanding</v>
      </c>
      <c r="D26" s="46">
        <f>'P E Valuation'!$D$22</f>
        <v>88.78</v>
      </c>
      <c r="E26" s="46">
        <f>'P E Valuation'!$D$22</f>
        <v>88.78</v>
      </c>
      <c r="F26" s="46">
        <f>'P E Valuation'!$D$22</f>
        <v>88.78</v>
      </c>
      <c r="G26" s="46"/>
      <c r="H26" s="46">
        <f>'P E Valuation'!$D$22</f>
        <v>88.78</v>
      </c>
      <c r="I26" s="46">
        <f>'P E Valuation'!$D$22</f>
        <v>88.78</v>
      </c>
      <c r="J26" s="46">
        <f>'P E Valuation'!$D$22</f>
        <v>88.78</v>
      </c>
      <c r="K26" s="46"/>
      <c r="L26" s="46">
        <f>'P E Valuation'!$D$22</f>
        <v>88.78</v>
      </c>
      <c r="M26" s="46">
        <f>'P E Valuation'!$D$22</f>
        <v>88.78</v>
      </c>
      <c r="N26" s="46">
        <f>'P E Valuation'!$D$22</f>
        <v>88.78</v>
      </c>
    </row>
    <row r="28" spans="2:14" x14ac:dyDescent="0.2">
      <c r="B28" t="s">
        <v>85</v>
      </c>
      <c r="D28" s="113">
        <f>D23/D26</f>
        <v>57.141248028835321</v>
      </c>
      <c r="E28" s="113">
        <f>E23/E26</f>
        <v>32.851398963730567</v>
      </c>
      <c r="F28" s="113">
        <f t="shared" ref="F28:J28" si="3">F23/F26</f>
        <v>36.465052849740921</v>
      </c>
      <c r="G28" s="113"/>
      <c r="H28" s="113">
        <f t="shared" si="3"/>
        <v>57.141248028835321</v>
      </c>
      <c r="I28" s="113">
        <f t="shared" si="3"/>
        <v>68.070466321243515</v>
      </c>
      <c r="J28" s="113">
        <f t="shared" si="3"/>
        <v>78.281036269430032</v>
      </c>
      <c r="K28" s="113"/>
      <c r="L28" s="113">
        <f>L23/L26</f>
        <v>57.141248028835321</v>
      </c>
      <c r="M28" s="113">
        <f>M23/M26</f>
        <v>93.917512953367861</v>
      </c>
      <c r="N28" s="113">
        <f>N23/N26</f>
        <v>111.76184041450774</v>
      </c>
    </row>
    <row r="30" spans="2:14" x14ac:dyDescent="0.2">
      <c r="B30" t="s">
        <v>1321</v>
      </c>
      <c r="D30" s="219">
        <f>$C$9</f>
        <v>55</v>
      </c>
      <c r="E30" s="219">
        <f t="shared" ref="E30:F30" si="4">$C$9</f>
        <v>55</v>
      </c>
      <c r="F30" s="219">
        <f t="shared" si="4"/>
        <v>55</v>
      </c>
      <c r="G30" s="219"/>
      <c r="H30" s="219">
        <f>$D$9</f>
        <v>65</v>
      </c>
      <c r="I30" s="219">
        <f t="shared" ref="I30:J30" si="5">$D$9</f>
        <v>65</v>
      </c>
      <c r="J30" s="219">
        <f t="shared" si="5"/>
        <v>65</v>
      </c>
      <c r="K30" s="219"/>
      <c r="L30" s="219">
        <f>$E$9</f>
        <v>75</v>
      </c>
      <c r="M30" s="219">
        <f t="shared" ref="M30:N30" si="6">$E$9</f>
        <v>75</v>
      </c>
      <c r="N30" s="219">
        <f t="shared" si="6"/>
        <v>75</v>
      </c>
    </row>
    <row r="32" spans="2:14" x14ac:dyDescent="0.2">
      <c r="B32" s="24" t="s">
        <v>1322</v>
      </c>
      <c r="C32" s="24"/>
      <c r="D32" s="24"/>
      <c r="E32" s="220"/>
      <c r="F32" s="251">
        <f t="shared" ref="F32:J32" si="7">F28*F30</f>
        <v>2005.5779067357507</v>
      </c>
      <c r="G32" s="251"/>
      <c r="H32" s="251"/>
      <c r="I32" s="251"/>
      <c r="J32" s="251">
        <f t="shared" si="7"/>
        <v>5088.267357512952</v>
      </c>
      <c r="K32" s="251"/>
      <c r="L32" s="26"/>
      <c r="M32" s="26"/>
      <c r="N32" s="251">
        <f t="shared" ref="N32" si="8">N28*N30</f>
        <v>8382.1380310880813</v>
      </c>
    </row>
    <row r="33" spans="2:14" x14ac:dyDescent="0.2">
      <c r="F33" s="23"/>
      <c r="G33" s="23"/>
      <c r="H33" s="23"/>
      <c r="I33" s="23"/>
      <c r="J33" s="23"/>
      <c r="K33" s="23"/>
      <c r="L33" s="23"/>
      <c r="M33" s="23"/>
      <c r="N33" s="23"/>
    </row>
    <row r="34" spans="2:14" x14ac:dyDescent="0.2">
      <c r="B34" s="24" t="s">
        <v>1362</v>
      </c>
      <c r="C34" s="24"/>
      <c r="D34" s="24"/>
      <c r="E34" s="24"/>
      <c r="F34" s="256">
        <f>(F32/$H$6)-1</f>
        <v>-0.61199885727689096</v>
      </c>
      <c r="G34" s="256"/>
      <c r="H34" s="26"/>
      <c r="I34" s="26"/>
      <c r="J34" s="256">
        <f>(J32/$H$6)-1</f>
        <v>-1.5618619169481152E-2</v>
      </c>
      <c r="K34" s="256"/>
      <c r="L34" s="26"/>
      <c r="M34" s="26"/>
      <c r="N34" s="256">
        <f>(N32/$H$6)-1</f>
        <v>0.62161695319947396</v>
      </c>
    </row>
  </sheetData>
  <sheetProtection sheet="1" objects="1" scenarios="1"/>
  <mergeCells count="7">
    <mergeCell ref="B3:N3"/>
    <mergeCell ref="D13:F13"/>
    <mergeCell ref="H13:J13"/>
    <mergeCell ref="L13:N13"/>
    <mergeCell ref="B12:N12"/>
    <mergeCell ref="H5:I5"/>
    <mergeCell ref="L5:N5"/>
  </mergeCells>
  <pageMargins left="0.7" right="0.7" top="0.75" bottom="0.75" header="0.3" footer="0.3"/>
  <pageSetup paperSize="9" orientation="portrait" horizontalDpi="0" verticalDpi="0"/>
  <ignoredErrors>
    <ignoredError sqref="H17 L17 L20 H20 H23 L23" formula="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B321C-2B28-3A4E-9AE7-3703FCF8C596}">
  <dimension ref="B2:O44"/>
  <sheetViews>
    <sheetView showGridLines="0" topLeftCell="A7" zoomScale="136" workbookViewId="0">
      <selection activeCell="E15" sqref="E15"/>
    </sheetView>
  </sheetViews>
  <sheetFormatPr baseColWidth="10" defaultRowHeight="15" outlineLevelRow="1" x14ac:dyDescent="0.2"/>
  <cols>
    <col min="1" max="1" width="2.6640625" customWidth="1"/>
    <col min="2" max="2" width="23.5" customWidth="1"/>
    <col min="3" max="3" width="12.1640625" bestFit="1" customWidth="1"/>
    <col min="9" max="9" width="11.6640625" bestFit="1" customWidth="1"/>
  </cols>
  <sheetData>
    <row r="2" spans="2:15" x14ac:dyDescent="0.2">
      <c r="B2" s="110" t="s">
        <v>329</v>
      </c>
      <c r="C2" s="110"/>
      <c r="D2" s="111">
        <f>'Intrinsic Growth'!K2</f>
        <v>46112</v>
      </c>
      <c r="E2" s="112">
        <f>D2+365</f>
        <v>46477</v>
      </c>
      <c r="F2" s="112">
        <f t="shared" ref="F2:I2" si="0">E2+365</f>
        <v>46842</v>
      </c>
      <c r="G2" s="112">
        <f t="shared" si="0"/>
        <v>47207</v>
      </c>
      <c r="H2" s="112">
        <f>G2+365</f>
        <v>47572</v>
      </c>
      <c r="I2" s="112">
        <f t="shared" si="0"/>
        <v>47937</v>
      </c>
    </row>
    <row r="4" spans="2:15" x14ac:dyDescent="0.2">
      <c r="B4" t="s">
        <v>271</v>
      </c>
      <c r="D4" s="146">
        <f>'Intrinsic Growth'!K34</f>
        <v>7981</v>
      </c>
      <c r="E4" s="147">
        <f>D4*(1+$C$20)</f>
        <v>9178.15</v>
      </c>
      <c r="F4" s="147">
        <f>E4*(1+$C$20)</f>
        <v>10554.872499999999</v>
      </c>
      <c r="G4" s="147">
        <f>F4*(1+$C$20)</f>
        <v>12138.103374999999</v>
      </c>
      <c r="H4" s="147">
        <f>G4*(1+$C$20)</f>
        <v>13958.818881249998</v>
      </c>
      <c r="I4" s="147">
        <f>H4*(1+$C$20)</f>
        <v>16052.641713437495</v>
      </c>
    </row>
    <row r="5" spans="2:15" x14ac:dyDescent="0.2">
      <c r="B5" t="s">
        <v>185</v>
      </c>
      <c r="D5" s="148">
        <f>'Intrinsic Growth'!$K$46</f>
        <v>0.25169999999999998</v>
      </c>
      <c r="E5" s="149">
        <f>'Intrinsic Growth'!$K$46</f>
        <v>0.25169999999999998</v>
      </c>
      <c r="F5" s="149">
        <f>'Intrinsic Growth'!$K$46</f>
        <v>0.25169999999999998</v>
      </c>
      <c r="G5" s="149">
        <f>'Intrinsic Growth'!$K$46</f>
        <v>0.25169999999999998</v>
      </c>
      <c r="H5" s="149">
        <f>'Intrinsic Growth'!$K$46</f>
        <v>0.25169999999999998</v>
      </c>
      <c r="I5" s="149">
        <f>'Intrinsic Growth'!$K$46</f>
        <v>0.25169999999999998</v>
      </c>
    </row>
    <row r="6" spans="2:15" x14ac:dyDescent="0.2">
      <c r="B6" t="s">
        <v>322</v>
      </c>
      <c r="D6" s="146">
        <f t="shared" ref="D6:I6" si="1">D4*(1-D5)</f>
        <v>5972.1822999999995</v>
      </c>
      <c r="E6" s="147">
        <f t="shared" si="1"/>
        <v>6868.0096449999992</v>
      </c>
      <c r="F6" s="147">
        <f t="shared" si="1"/>
        <v>7898.2110917499995</v>
      </c>
      <c r="G6" s="147">
        <f t="shared" si="1"/>
        <v>9082.9427555124985</v>
      </c>
      <c r="H6" s="147">
        <f t="shared" si="1"/>
        <v>10445.384168839373</v>
      </c>
      <c r="I6" s="147">
        <f t="shared" si="1"/>
        <v>12012.191794165277</v>
      </c>
    </row>
    <row r="7" spans="2:15" x14ac:dyDescent="0.2">
      <c r="B7" t="s">
        <v>330</v>
      </c>
      <c r="D7" s="150">
        <v>0.75</v>
      </c>
      <c r="E7" s="160">
        <v>0.7</v>
      </c>
      <c r="F7" s="150">
        <v>0.65</v>
      </c>
      <c r="G7" s="160">
        <v>0.6</v>
      </c>
      <c r="H7" s="160">
        <v>0.55000000000000004</v>
      </c>
      <c r="I7" s="160">
        <v>0.5</v>
      </c>
    </row>
    <row r="8" spans="2:15" x14ac:dyDescent="0.2">
      <c r="B8" s="24" t="s">
        <v>331</v>
      </c>
      <c r="C8" s="24"/>
      <c r="D8" s="151">
        <f t="shared" ref="D8:I8" si="2">D6*(1-D7)</f>
        <v>1493.0455749999999</v>
      </c>
      <c r="E8" s="152">
        <f t="shared" si="2"/>
        <v>2060.4028935000001</v>
      </c>
      <c r="F8" s="152">
        <f t="shared" si="2"/>
        <v>2764.3738821124998</v>
      </c>
      <c r="G8" s="152">
        <f t="shared" si="2"/>
        <v>3633.1771022049998</v>
      </c>
      <c r="H8" s="152">
        <f t="shared" si="2"/>
        <v>4700.422875977717</v>
      </c>
      <c r="I8" s="152">
        <f t="shared" si="2"/>
        <v>6006.0958970826387</v>
      </c>
      <c r="K8" s="147"/>
      <c r="L8" s="147"/>
      <c r="M8" s="147"/>
      <c r="N8" s="147"/>
      <c r="O8" s="147"/>
    </row>
    <row r="9" spans="2:15" x14ac:dyDescent="0.2">
      <c r="B9" t="s">
        <v>332</v>
      </c>
      <c r="D9" s="10"/>
      <c r="E9" s="154">
        <v>0.5</v>
      </c>
      <c r="F9" s="10">
        <f>E9+1</f>
        <v>1.5</v>
      </c>
      <c r="G9" s="10">
        <f t="shared" ref="G9:I9" si="3">F9+1</f>
        <v>2.5</v>
      </c>
      <c r="H9" s="10">
        <f t="shared" si="3"/>
        <v>3.5</v>
      </c>
      <c r="I9" s="10">
        <f t="shared" si="3"/>
        <v>4.5</v>
      </c>
    </row>
    <row r="10" spans="2:15" x14ac:dyDescent="0.2">
      <c r="B10" t="s">
        <v>333</v>
      </c>
      <c r="D10" s="10"/>
      <c r="E10" s="123">
        <f>1/(1+$C$22)^E9</f>
        <v>0.94104475356235073</v>
      </c>
      <c r="F10" s="123">
        <f t="shared" ref="F10:I10" si="4">1/(1+$C$22)^F9</f>
        <v>0.83335651194165528</v>
      </c>
      <c r="G10" s="123">
        <f t="shared" si="4"/>
        <v>0.73799154967558922</v>
      </c>
      <c r="H10" s="123">
        <f t="shared" si="4"/>
        <v>0.6535396551034669</v>
      </c>
      <c r="I10" s="123">
        <f t="shared" si="4"/>
        <v>0.57875199381417308</v>
      </c>
    </row>
    <row r="11" spans="2:15" ht="16" thickBot="1" x14ac:dyDescent="0.25">
      <c r="B11" s="95" t="s">
        <v>334</v>
      </c>
      <c r="C11" s="95"/>
      <c r="D11" s="159"/>
      <c r="E11" s="156">
        <f>E8*E10</f>
        <v>1938.931333152862</v>
      </c>
      <c r="F11" s="156">
        <f t="shared" ref="F11:I11" si="5">F8*F10</f>
        <v>2303.7089760998856</v>
      </c>
      <c r="G11" s="156">
        <f t="shared" si="5"/>
        <v>2681.2539999021342</v>
      </c>
      <c r="H11" s="156">
        <f t="shared" si="5"/>
        <v>3071.9127452069233</v>
      </c>
      <c r="I11" s="156">
        <f t="shared" si="5"/>
        <v>3476.0399754757018</v>
      </c>
    </row>
    <row r="13" spans="2:15" x14ac:dyDescent="0.2">
      <c r="B13" s="110" t="s">
        <v>411</v>
      </c>
      <c r="C13" s="110"/>
      <c r="D13" s="111">
        <f>D2</f>
        <v>46112</v>
      </c>
      <c r="E13" s="112">
        <f>E2</f>
        <v>46477</v>
      </c>
      <c r="F13" s="112">
        <f t="shared" ref="F13:I13" si="6">F2</f>
        <v>46842</v>
      </c>
      <c r="G13" s="112">
        <f t="shared" si="6"/>
        <v>47207</v>
      </c>
      <c r="H13" s="112">
        <f t="shared" si="6"/>
        <v>47572</v>
      </c>
      <c r="I13" s="112">
        <f t="shared" si="6"/>
        <v>47937</v>
      </c>
    </row>
    <row r="15" spans="2:15" x14ac:dyDescent="0.2">
      <c r="B15" t="s">
        <v>75</v>
      </c>
      <c r="D15" s="147">
        <f>HistoricalFS!L18</f>
        <v>8357</v>
      </c>
      <c r="E15" s="147">
        <f>D15*(1+$C$20)</f>
        <v>9610.5499999999993</v>
      </c>
      <c r="F15" s="147">
        <f t="shared" ref="F15:I15" si="7">E15*(1+$C$20)</f>
        <v>11052.132499999998</v>
      </c>
      <c r="G15" s="147">
        <f t="shared" si="7"/>
        <v>12709.952374999997</v>
      </c>
      <c r="H15" s="147">
        <f t="shared" si="7"/>
        <v>14616.445231249996</v>
      </c>
      <c r="I15" s="147">
        <f t="shared" si="7"/>
        <v>16808.912015937494</v>
      </c>
    </row>
    <row r="16" spans="2:15" x14ac:dyDescent="0.2">
      <c r="B16" t="s">
        <v>407</v>
      </c>
      <c r="I16" s="158">
        <v>40</v>
      </c>
    </row>
    <row r="17" spans="2:11" x14ac:dyDescent="0.2">
      <c r="B17" t="s">
        <v>409</v>
      </c>
      <c r="I17" s="113">
        <f>I15*I16</f>
        <v>672356.48063749983</v>
      </c>
    </row>
    <row r="18" spans="2:11" ht="16" thickBot="1" x14ac:dyDescent="0.25">
      <c r="B18" s="95" t="s">
        <v>410</v>
      </c>
      <c r="C18" s="95"/>
      <c r="D18" s="95"/>
      <c r="E18" s="95"/>
      <c r="F18" s="95"/>
      <c r="G18" s="95"/>
      <c r="H18" s="95"/>
      <c r="I18" s="119">
        <f>I17*I10</f>
        <v>389127.65372283349</v>
      </c>
    </row>
    <row r="20" spans="2:11" outlineLevel="1" x14ac:dyDescent="0.2">
      <c r="B20" s="43" t="s">
        <v>335</v>
      </c>
      <c r="C20" s="115">
        <v>0.15</v>
      </c>
    </row>
    <row r="21" spans="2:11" outlineLevel="1" x14ac:dyDescent="0.2">
      <c r="B21" s="43" t="s">
        <v>336</v>
      </c>
      <c r="C21" s="116">
        <v>4.4999999999999998E-2</v>
      </c>
    </row>
    <row r="22" spans="2:11" outlineLevel="1" x14ac:dyDescent="0.2">
      <c r="B22" s="43" t="s">
        <v>337</v>
      </c>
      <c r="C22" s="49">
        <f>WACC!J42</f>
        <v>0.12922229571326013</v>
      </c>
    </row>
    <row r="24" spans="2:11" x14ac:dyDescent="0.2">
      <c r="B24" s="110" t="s">
        <v>347</v>
      </c>
      <c r="C24" s="110"/>
      <c r="E24" s="268" t="s">
        <v>403</v>
      </c>
      <c r="F24" s="268"/>
      <c r="G24" s="268"/>
      <c r="H24" s="268"/>
      <c r="I24" s="268"/>
      <c r="J24" s="268"/>
      <c r="K24" s="268"/>
    </row>
    <row r="25" spans="2:11" x14ac:dyDescent="0.2">
      <c r="E25" s="232"/>
      <c r="F25" s="238"/>
      <c r="G25" s="271" t="s">
        <v>407</v>
      </c>
      <c r="H25" s="271"/>
      <c r="I25" s="271"/>
      <c r="J25" s="271"/>
      <c r="K25" s="283"/>
    </row>
    <row r="26" spans="2:11" x14ac:dyDescent="0.2">
      <c r="B26" t="s">
        <v>334</v>
      </c>
      <c r="C26" s="113">
        <f>SUM(E11:I11)</f>
        <v>13471.847029837507</v>
      </c>
      <c r="E26" s="232"/>
      <c r="F26" s="16">
        <f>C34</f>
        <v>4211.483450694649</v>
      </c>
      <c r="G26" s="219">
        <f>I16-10</f>
        <v>30</v>
      </c>
      <c r="H26" s="219">
        <f>I16-5</f>
        <v>35</v>
      </c>
      <c r="I26" s="219">
        <f>I16</f>
        <v>40</v>
      </c>
      <c r="J26" s="219">
        <f>I16+5</f>
        <v>45</v>
      </c>
      <c r="K26" s="239">
        <f>I16+10</f>
        <v>50</v>
      </c>
    </row>
    <row r="27" spans="2:11" x14ac:dyDescent="0.2">
      <c r="B27" t="s">
        <v>343</v>
      </c>
      <c r="C27" s="113">
        <f>I18</f>
        <v>389127.65372283349</v>
      </c>
      <c r="E27" s="278" t="s">
        <v>337</v>
      </c>
      <c r="F27" s="171">
        <f>C22-0.02</f>
        <v>0.10922229571326013</v>
      </c>
      <c r="G27" s="182">
        <f>(($E$8/(1+$F27)^0.5)+($F$8/(1+$F27)^1.5)+($G$8/(1+$F27)^2.5)+($H$8/(1+$F27)^3.5)+($I$8/(1+$F27)^4.5)+($I$15*G$26/(1+$F27)^4.5)+$C$30-$C$31)/$C$33</f>
        <v>3398.7797082199572</v>
      </c>
      <c r="H27" s="182">
        <f t="shared" ref="H27:K31" si="8">(($E$8/(1+$F27)^0.5)+($F$8/(1+$F27)^1.5)+($G$8/(1+$F27)^2.5)+($H$8/(1+$F27)^3.5)+($I$8/(1+$F27)^4.5)+($I$15*H$26/(1+$F27)^4.5)+$C$30-$C$31)/$C$33</f>
        <v>3992.5395353564386</v>
      </c>
      <c r="I27" s="182">
        <f t="shared" si="8"/>
        <v>4586.2993624929204</v>
      </c>
      <c r="J27" s="182">
        <f t="shared" si="8"/>
        <v>5180.0591896294009</v>
      </c>
      <c r="K27" s="240">
        <f t="shared" si="8"/>
        <v>5773.8190167658831</v>
      </c>
    </row>
    <row r="28" spans="2:11" x14ac:dyDescent="0.2">
      <c r="B28" s="23" t="s">
        <v>344</v>
      </c>
      <c r="C28" s="118">
        <f>SUM(C26:C27)</f>
        <v>402599.50075267098</v>
      </c>
      <c r="E28" s="278"/>
      <c r="F28" s="171">
        <f>C22-0.01</f>
        <v>0.11922229571326014</v>
      </c>
      <c r="G28" s="182">
        <f t="shared" ref="G28:G31" si="9">(($E$8/(1+$F28)^0.5)+($F$8/(1+$F28)^1.5)+($G$8/(1+$F28)^2.5)+($H$8/(1+$F28)^3.5)+($I$8/(1+$F28)^4.5)+($I$15*G$26/(1+$F28)^4.5)+$C$30-$C$31)/$C$33</f>
        <v>3253.7903266123317</v>
      </c>
      <c r="H28" s="182">
        <f t="shared" si="8"/>
        <v>3824.0476600458624</v>
      </c>
      <c r="I28" s="182">
        <f t="shared" si="8"/>
        <v>4394.3049934793926</v>
      </c>
      <c r="J28" s="182">
        <f t="shared" si="8"/>
        <v>4964.5623269129219</v>
      </c>
      <c r="K28" s="240">
        <f t="shared" si="8"/>
        <v>5534.8196603464521</v>
      </c>
    </row>
    <row r="29" spans="2:11" x14ac:dyDescent="0.2">
      <c r="C29" s="113"/>
      <c r="E29" s="278"/>
      <c r="F29" s="171">
        <f>C22</f>
        <v>0.12922229571326013</v>
      </c>
      <c r="G29" s="182">
        <f t="shared" si="9"/>
        <v>3115.7196138991048</v>
      </c>
      <c r="H29" s="182">
        <f t="shared" si="8"/>
        <v>3663.6015322968769</v>
      </c>
      <c r="I29" s="241">
        <f t="shared" si="8"/>
        <v>4211.483450694649</v>
      </c>
      <c r="J29" s="182">
        <f t="shared" si="8"/>
        <v>4759.3653690924202</v>
      </c>
      <c r="K29" s="240">
        <f t="shared" si="8"/>
        <v>5307.2472874901923</v>
      </c>
    </row>
    <row r="30" spans="2:11" x14ac:dyDescent="0.2">
      <c r="B30" t="s">
        <v>345</v>
      </c>
      <c r="C30">
        <f>'Data Sheet'!K71</f>
        <v>1917</v>
      </c>
      <c r="E30" s="278"/>
      <c r="F30" s="171">
        <f>C22+0.01</f>
        <v>0.13922229571326014</v>
      </c>
      <c r="G30" s="182">
        <f t="shared" si="9"/>
        <v>2984.1798429618266</v>
      </c>
      <c r="H30" s="182">
        <f t="shared" si="8"/>
        <v>3510.7501014159243</v>
      </c>
      <c r="I30" s="182">
        <f t="shared" si="8"/>
        <v>4037.3203598700229</v>
      </c>
      <c r="J30" s="182">
        <f t="shared" si="8"/>
        <v>4563.8906183241197</v>
      </c>
      <c r="K30" s="240">
        <f t="shared" si="8"/>
        <v>5090.4608767782183</v>
      </c>
    </row>
    <row r="31" spans="2:11" x14ac:dyDescent="0.2">
      <c r="B31" t="s">
        <v>346</v>
      </c>
      <c r="C31" s="22">
        <f>SUM('Raw FS'!N7:N9)</f>
        <v>30621</v>
      </c>
      <c r="E31" s="279"/>
      <c r="F31" s="237">
        <f>C22+0.02</f>
        <v>0.14922229571326012</v>
      </c>
      <c r="G31" s="242">
        <f t="shared" si="9"/>
        <v>2858.808167055869</v>
      </c>
      <c r="H31" s="242">
        <f t="shared" si="8"/>
        <v>3365.0712669245031</v>
      </c>
      <c r="I31" s="242">
        <f t="shared" si="8"/>
        <v>3871.3343667931376</v>
      </c>
      <c r="J31" s="242">
        <f t="shared" si="8"/>
        <v>4377.5974666617703</v>
      </c>
      <c r="K31" s="243">
        <f t="shared" si="8"/>
        <v>4883.8605665304049</v>
      </c>
    </row>
    <row r="32" spans="2:11" x14ac:dyDescent="0.2">
      <c r="B32" s="23" t="s">
        <v>348</v>
      </c>
      <c r="C32" s="118">
        <f>C28+C30-C31</f>
        <v>373895.50075267098</v>
      </c>
    </row>
    <row r="33" spans="2:4" x14ac:dyDescent="0.2">
      <c r="B33" t="s">
        <v>349</v>
      </c>
      <c r="C33" s="120">
        <f>'Data Sheet'!B7</f>
        <v>88.78</v>
      </c>
    </row>
    <row r="34" spans="2:4" ht="16" thickBot="1" x14ac:dyDescent="0.25">
      <c r="B34" s="94" t="s">
        <v>350</v>
      </c>
      <c r="C34" s="162">
        <f>C32/C33</f>
        <v>4211.483450694649</v>
      </c>
    </row>
    <row r="36" spans="2:4" x14ac:dyDescent="0.2">
      <c r="B36" t="s">
        <v>351</v>
      </c>
      <c r="C36" s="216">
        <f>Teaser!B11</f>
        <v>5169</v>
      </c>
      <c r="D36" s="195" t="str">
        <f>Teaser!C11</f>
        <v>(28th August, 2026 - close price)</v>
      </c>
    </row>
    <row r="37" spans="2:4" x14ac:dyDescent="0.2">
      <c r="B37" s="23" t="str">
        <f>IF(C36&gt;C34,"Premium","Discount")</f>
        <v>Premium</v>
      </c>
      <c r="C37" s="163">
        <f>C36/C34</f>
        <v>1.2273584974309746</v>
      </c>
    </row>
    <row r="38" spans="2:4" x14ac:dyDescent="0.2">
      <c r="B38" s="23"/>
      <c r="C38" s="163"/>
    </row>
    <row r="39" spans="2:4" x14ac:dyDescent="0.2">
      <c r="C39" s="20"/>
    </row>
    <row r="40" spans="2:4" x14ac:dyDescent="0.2">
      <c r="B40" s="47" t="s">
        <v>179</v>
      </c>
    </row>
    <row r="41" spans="2:4" x14ac:dyDescent="0.2">
      <c r="B41" s="161" t="s">
        <v>412</v>
      </c>
    </row>
    <row r="42" spans="2:4" x14ac:dyDescent="0.2">
      <c r="B42" s="47" t="s">
        <v>338</v>
      </c>
    </row>
    <row r="43" spans="2:4" x14ac:dyDescent="0.2">
      <c r="B43" s="47" t="s">
        <v>408</v>
      </c>
    </row>
    <row r="44" spans="2:4" x14ac:dyDescent="0.2">
      <c r="B44" s="47"/>
    </row>
  </sheetData>
  <sheetProtection sheet="1" objects="1" scenarios="1"/>
  <mergeCells count="3">
    <mergeCell ref="E27:E31"/>
    <mergeCell ref="E24:K24"/>
    <mergeCell ref="G25:K25"/>
  </mergeCells>
  <pageMargins left="0.7" right="0.7" top="0.75" bottom="0.75" header="0.3" footer="0.3"/>
  <pageSetup paperSize="9" orientation="portrait" horizontalDpi="0" verticalDpi="0"/>
  <ignoredErrors>
    <ignoredError sqref="C31" formulaRange="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D1CC8-3FFF-5B4E-A2A1-B0D7281D1E2E}">
  <dimension ref="B2:O43"/>
  <sheetViews>
    <sheetView showGridLines="0" topLeftCell="A4" zoomScale="125" workbookViewId="0">
      <selection activeCell="H19" sqref="H19"/>
    </sheetView>
  </sheetViews>
  <sheetFormatPr baseColWidth="10" defaultRowHeight="15" outlineLevelRow="1" x14ac:dyDescent="0.2"/>
  <cols>
    <col min="1" max="1" width="2.6640625" customWidth="1"/>
    <col min="2" max="2" width="23.5" customWidth="1"/>
    <col min="3" max="3" width="12.1640625" bestFit="1" customWidth="1"/>
  </cols>
  <sheetData>
    <row r="2" spans="2:15" x14ac:dyDescent="0.2">
      <c r="B2" s="110" t="s">
        <v>329</v>
      </c>
      <c r="C2" s="110"/>
      <c r="D2" s="111">
        <f>'Intrinsic Growth'!K2</f>
        <v>46112</v>
      </c>
      <c r="E2" s="112">
        <f>D2+365</f>
        <v>46477</v>
      </c>
      <c r="F2" s="112">
        <f t="shared" ref="F2:I2" si="0">E2+365</f>
        <v>46842</v>
      </c>
      <c r="G2" s="112">
        <f t="shared" si="0"/>
        <v>47207</v>
      </c>
      <c r="H2" s="112">
        <f>G2+365</f>
        <v>47572</v>
      </c>
      <c r="I2" s="112">
        <f t="shared" si="0"/>
        <v>47937</v>
      </c>
    </row>
    <row r="4" spans="2:15" x14ac:dyDescent="0.2">
      <c r="B4" t="s">
        <v>271</v>
      </c>
      <c r="D4" s="146">
        <f>'Intrinsic Growth'!K34</f>
        <v>7981</v>
      </c>
      <c r="E4" s="147">
        <f>D4*(1+$C$13)</f>
        <v>9178.15</v>
      </c>
      <c r="F4" s="147">
        <f>E4*(1+$C$13)</f>
        <v>10554.872499999999</v>
      </c>
      <c r="G4" s="147">
        <f>F4*(1+$C$13)</f>
        <v>12138.103374999999</v>
      </c>
      <c r="H4" s="147">
        <f>G4*(1+$C$13)</f>
        <v>13958.818881249998</v>
      </c>
      <c r="I4" s="147">
        <f>H4*(1+$C$13)</f>
        <v>16052.641713437495</v>
      </c>
    </row>
    <row r="5" spans="2:15" x14ac:dyDescent="0.2">
      <c r="B5" t="s">
        <v>185</v>
      </c>
      <c r="D5" s="148">
        <f>'Intrinsic Growth'!$K$46</f>
        <v>0.25169999999999998</v>
      </c>
      <c r="E5" s="149">
        <f>'Intrinsic Growth'!$K$46</f>
        <v>0.25169999999999998</v>
      </c>
      <c r="F5" s="149">
        <f>'Intrinsic Growth'!$K$46</f>
        <v>0.25169999999999998</v>
      </c>
      <c r="G5" s="149">
        <f>'Intrinsic Growth'!$K$46</f>
        <v>0.25169999999999998</v>
      </c>
      <c r="H5" s="149">
        <f>'Intrinsic Growth'!$K$46</f>
        <v>0.25169999999999998</v>
      </c>
      <c r="I5" s="149">
        <f>'Intrinsic Growth'!$K$46</f>
        <v>0.25169999999999998</v>
      </c>
    </row>
    <row r="6" spans="2:15" x14ac:dyDescent="0.2">
      <c r="B6" t="s">
        <v>322</v>
      </c>
      <c r="D6" s="146">
        <f t="shared" ref="D6:I6" si="1">D4*(1-D5)</f>
        <v>5972.1822999999995</v>
      </c>
      <c r="E6" s="147">
        <f t="shared" si="1"/>
        <v>6868.0096449999992</v>
      </c>
      <c r="F6" s="147">
        <f t="shared" si="1"/>
        <v>7898.2110917499995</v>
      </c>
      <c r="G6" s="147">
        <f t="shared" si="1"/>
        <v>9082.9427555124985</v>
      </c>
      <c r="H6" s="147">
        <f t="shared" si="1"/>
        <v>10445.384168839373</v>
      </c>
      <c r="I6" s="147">
        <f t="shared" si="1"/>
        <v>12012.191794165277</v>
      </c>
    </row>
    <row r="7" spans="2:15" x14ac:dyDescent="0.2">
      <c r="B7" t="s">
        <v>330</v>
      </c>
      <c r="D7" s="150">
        <v>0.75</v>
      </c>
      <c r="E7" s="160">
        <v>0.7</v>
      </c>
      <c r="F7" s="150">
        <v>0.65</v>
      </c>
      <c r="G7" s="160">
        <v>0.6</v>
      </c>
      <c r="H7" s="160">
        <v>0.55000000000000004</v>
      </c>
      <c r="I7" s="160">
        <v>0.5</v>
      </c>
    </row>
    <row r="8" spans="2:15" x14ac:dyDescent="0.2">
      <c r="B8" s="24" t="s">
        <v>331</v>
      </c>
      <c r="C8" s="24"/>
      <c r="D8" s="151">
        <f t="shared" ref="D8:I8" si="2">D6*(1-D7)</f>
        <v>1493.0455749999999</v>
      </c>
      <c r="E8" s="152">
        <f t="shared" si="2"/>
        <v>2060.4028935000001</v>
      </c>
      <c r="F8" s="152">
        <f t="shared" si="2"/>
        <v>2764.3738821124998</v>
      </c>
      <c r="G8" s="152">
        <f t="shared" si="2"/>
        <v>3633.1771022049998</v>
      </c>
      <c r="H8" s="152">
        <f t="shared" si="2"/>
        <v>4700.422875977717</v>
      </c>
      <c r="I8" s="152">
        <f t="shared" si="2"/>
        <v>6006.0958970826387</v>
      </c>
      <c r="K8" s="147"/>
      <c r="L8" s="147"/>
      <c r="M8" s="147"/>
      <c r="N8" s="147"/>
      <c r="O8" s="147"/>
    </row>
    <row r="9" spans="2:15" x14ac:dyDescent="0.2">
      <c r="B9" t="s">
        <v>332</v>
      </c>
      <c r="D9" s="153"/>
      <c r="E9" s="154">
        <v>0.5</v>
      </c>
      <c r="F9" s="10">
        <f>E9+1</f>
        <v>1.5</v>
      </c>
      <c r="G9" s="10">
        <f t="shared" ref="G9:I9" si="3">F9+1</f>
        <v>2.5</v>
      </c>
      <c r="H9" s="10">
        <f t="shared" si="3"/>
        <v>3.5</v>
      </c>
      <c r="I9" s="10">
        <f t="shared" si="3"/>
        <v>4.5</v>
      </c>
    </row>
    <row r="10" spans="2:15" x14ac:dyDescent="0.2">
      <c r="B10" t="s">
        <v>333</v>
      </c>
      <c r="D10" s="153"/>
      <c r="E10" s="123">
        <f>1/(1+$C$15)^E9</f>
        <v>0.94104475356235073</v>
      </c>
      <c r="F10" s="123">
        <f t="shared" ref="F10:I10" si="4">1/(1+$C$15)^F9</f>
        <v>0.83335651194165528</v>
      </c>
      <c r="G10" s="123">
        <f t="shared" si="4"/>
        <v>0.73799154967558922</v>
      </c>
      <c r="H10" s="123">
        <f t="shared" si="4"/>
        <v>0.6535396551034669</v>
      </c>
      <c r="I10" s="123">
        <f t="shared" si="4"/>
        <v>0.57875199381417308</v>
      </c>
    </row>
    <row r="11" spans="2:15" ht="16" thickBot="1" x14ac:dyDescent="0.25">
      <c r="B11" s="95" t="s">
        <v>334</v>
      </c>
      <c r="C11" s="95"/>
      <c r="D11" s="155"/>
      <c r="E11" s="156">
        <f>E8*E10</f>
        <v>1938.931333152862</v>
      </c>
      <c r="F11" s="156">
        <f t="shared" ref="F11:I11" si="5">F8*F10</f>
        <v>2303.7089760998856</v>
      </c>
      <c r="G11" s="156">
        <f t="shared" si="5"/>
        <v>2681.2539999021342</v>
      </c>
      <c r="H11" s="156">
        <f t="shared" si="5"/>
        <v>3071.9127452069233</v>
      </c>
      <c r="I11" s="156">
        <f t="shared" si="5"/>
        <v>3476.0399754757018</v>
      </c>
    </row>
    <row r="13" spans="2:15" outlineLevel="1" x14ac:dyDescent="0.2">
      <c r="B13" s="43" t="s">
        <v>335</v>
      </c>
      <c r="C13" s="115">
        <v>0.15</v>
      </c>
    </row>
    <row r="14" spans="2:15" outlineLevel="1" x14ac:dyDescent="0.2">
      <c r="B14" s="43" t="s">
        <v>336</v>
      </c>
      <c r="C14" s="116">
        <v>4.4999999999999998E-2</v>
      </c>
    </row>
    <row r="15" spans="2:15" outlineLevel="1" x14ac:dyDescent="0.2">
      <c r="B15" s="43" t="s">
        <v>337</v>
      </c>
      <c r="C15" s="49">
        <f>WACC!J42</f>
        <v>0.12922229571326013</v>
      </c>
    </row>
    <row r="17" spans="2:10" x14ac:dyDescent="0.2">
      <c r="B17" s="110" t="s">
        <v>339</v>
      </c>
      <c r="C17" s="110"/>
      <c r="E17" s="268" t="s">
        <v>403</v>
      </c>
      <c r="F17" s="268"/>
      <c r="G17" s="268"/>
      <c r="H17" s="268"/>
      <c r="I17" s="268"/>
      <c r="J17" s="268"/>
    </row>
    <row r="18" spans="2:10" x14ac:dyDescent="0.2">
      <c r="E18" s="176">
        <f>C35</f>
        <v>363.04217656136467</v>
      </c>
      <c r="F18" s="175">
        <v>0.13</v>
      </c>
      <c r="G18" s="175">
        <v>0.14000000000000001</v>
      </c>
      <c r="H18" s="175">
        <v>0.15</v>
      </c>
      <c r="I18" s="175">
        <v>0.16</v>
      </c>
      <c r="J18" s="178">
        <v>0.17</v>
      </c>
    </row>
    <row r="19" spans="2:10" x14ac:dyDescent="0.2">
      <c r="B19" t="s">
        <v>340</v>
      </c>
      <c r="C19" s="113">
        <f>I8*(1+C13)</f>
        <v>6907.0102816450335</v>
      </c>
      <c r="E19" s="177">
        <v>3.5000000000000003E-2</v>
      </c>
      <c r="F19" s="46">
        <f t="dataTable" ref="F19:J23" dt2D="1" dtr="1" r1="C13" r2="C14"/>
        <v>250.09954575824094</v>
      </c>
      <c r="G19" s="46">
        <v>277.62456693510052</v>
      </c>
      <c r="H19" s="46">
        <v>306.30251966785812</v>
      </c>
      <c r="I19" s="46">
        <v>336.17281569867828</v>
      </c>
      <c r="J19" s="46">
        <v>367.27588202035088</v>
      </c>
    </row>
    <row r="20" spans="2:10" x14ac:dyDescent="0.2">
      <c r="B20" t="s">
        <v>337</v>
      </c>
      <c r="C20" s="48">
        <f>C15</f>
        <v>0.12922229571326013</v>
      </c>
      <c r="E20" s="175">
        <v>0.04</v>
      </c>
      <c r="F20" s="46">
        <v>274.20381723514737</v>
      </c>
      <c r="G20" s="46">
        <v>303.03736333896967</v>
      </c>
      <c r="H20" s="46">
        <v>333.0825084775588</v>
      </c>
      <c r="I20" s="46">
        <v>364.38075006454369</v>
      </c>
      <c r="J20" s="46">
        <v>396.97465588713129</v>
      </c>
    </row>
    <row r="21" spans="2:10" x14ac:dyDescent="0.2">
      <c r="B21" t="s">
        <v>341</v>
      </c>
      <c r="C21" s="117">
        <f>C14</f>
        <v>4.4999999999999998E-2</v>
      </c>
      <c r="E21" s="177">
        <v>4.4999999999999998E-2</v>
      </c>
      <c r="F21" s="46">
        <v>301.17007095473332</v>
      </c>
      <c r="G21" s="46">
        <v>331.46750760644812</v>
      </c>
      <c r="H21" s="180">
        <v>363.04217656136467</v>
      </c>
      <c r="I21" s="46">
        <v>395.93790854345161</v>
      </c>
      <c r="J21" s="46">
        <v>430.19966631814532</v>
      </c>
    </row>
    <row r="22" spans="2:10" x14ac:dyDescent="0.2">
      <c r="C22" s="117"/>
      <c r="E22" s="177">
        <v>0.05</v>
      </c>
      <c r="F22" s="46">
        <v>331.54019646026052</v>
      </c>
      <c r="G22" s="46">
        <v>363.48630630656015</v>
      </c>
      <c r="H22" s="46">
        <v>396.78356642110117</v>
      </c>
      <c r="I22" s="46">
        <v>431.47843536517166</v>
      </c>
      <c r="J22" s="46">
        <v>467.6185731935733</v>
      </c>
    </row>
    <row r="23" spans="2:10" ht="16" thickBot="1" x14ac:dyDescent="0.25">
      <c r="B23" s="94" t="s">
        <v>342</v>
      </c>
      <c r="C23" s="119">
        <f>C19/(C20-C21)</f>
        <v>82009.285346012955</v>
      </c>
      <c r="E23" s="179">
        <v>5.5E-2</v>
      </c>
      <c r="F23" s="62">
        <v>366.0021012908108</v>
      </c>
      <c r="G23" s="62">
        <v>399.81901073976985</v>
      </c>
      <c r="H23" s="62">
        <v>435.07094741941523</v>
      </c>
      <c r="I23" s="62">
        <v>471.80735177794122</v>
      </c>
      <c r="J23" s="62">
        <v>510.07894456640588</v>
      </c>
    </row>
    <row r="25" spans="2:10" x14ac:dyDescent="0.2">
      <c r="B25" s="110" t="s">
        <v>347</v>
      </c>
      <c r="C25" s="110"/>
    </row>
    <row r="27" spans="2:10" x14ac:dyDescent="0.2">
      <c r="B27" t="s">
        <v>334</v>
      </c>
      <c r="C27" s="113">
        <f>SUM(E11:I11)</f>
        <v>13471.847029837507</v>
      </c>
    </row>
    <row r="28" spans="2:10" x14ac:dyDescent="0.2">
      <c r="B28" t="s">
        <v>343</v>
      </c>
      <c r="C28" s="113">
        <f>C23*I10</f>
        <v>47463.037405280447</v>
      </c>
    </row>
    <row r="29" spans="2:10" x14ac:dyDescent="0.2">
      <c r="B29" s="23" t="s">
        <v>344</v>
      </c>
      <c r="C29" s="118">
        <f>SUM(C27:C28)</f>
        <v>60934.884435117958</v>
      </c>
    </row>
    <row r="30" spans="2:10" x14ac:dyDescent="0.2">
      <c r="C30" s="113"/>
    </row>
    <row r="31" spans="2:10" x14ac:dyDescent="0.2">
      <c r="B31" t="s">
        <v>345</v>
      </c>
      <c r="C31" s="41">
        <f>'Data Sheet'!K71</f>
        <v>1917</v>
      </c>
    </row>
    <row r="32" spans="2:10" x14ac:dyDescent="0.2">
      <c r="B32" t="s">
        <v>346</v>
      </c>
      <c r="C32" s="41">
        <f>SUM('Raw FS'!N7:N9)</f>
        <v>30621</v>
      </c>
    </row>
    <row r="33" spans="2:5" x14ac:dyDescent="0.2">
      <c r="B33" s="23" t="s">
        <v>348</v>
      </c>
      <c r="C33" s="181">
        <f>C29+C31-C32</f>
        <v>32230.884435117958</v>
      </c>
    </row>
    <row r="34" spans="2:5" x14ac:dyDescent="0.2">
      <c r="B34" t="s">
        <v>349</v>
      </c>
      <c r="C34" s="120">
        <f>'Data Sheet'!B7</f>
        <v>88.78</v>
      </c>
    </row>
    <row r="35" spans="2:5" ht="16" thickBot="1" x14ac:dyDescent="0.25">
      <c r="B35" s="94" t="s">
        <v>350</v>
      </c>
      <c r="C35" s="162">
        <f>C33/C34</f>
        <v>363.04217656136467</v>
      </c>
    </row>
    <row r="37" spans="2:5" x14ac:dyDescent="0.2">
      <c r="B37" s="23" t="s">
        <v>351</v>
      </c>
      <c r="C37" s="215">
        <f>Teaser!B11</f>
        <v>5169</v>
      </c>
      <c r="D37" s="195" t="str">
        <f>Teaser!C11</f>
        <v>(28th August, 2026 - close price)</v>
      </c>
      <c r="E37" s="195"/>
    </row>
    <row r="38" spans="2:5" x14ac:dyDescent="0.2">
      <c r="B38" s="23" t="str">
        <f>IF(C37&gt;C35,"Premium","Discount")</f>
        <v>Premium</v>
      </c>
      <c r="C38" s="163">
        <f>C37/C35</f>
        <v>14.238015122538494</v>
      </c>
    </row>
    <row r="39" spans="2:5" x14ac:dyDescent="0.2">
      <c r="B39" s="23"/>
      <c r="C39" s="163"/>
    </row>
    <row r="40" spans="2:5" x14ac:dyDescent="0.2">
      <c r="C40" s="20"/>
    </row>
    <row r="41" spans="2:5" x14ac:dyDescent="0.2">
      <c r="B41" s="47" t="s">
        <v>179</v>
      </c>
    </row>
    <row r="42" spans="2:5" x14ac:dyDescent="0.2">
      <c r="B42" s="161" t="s">
        <v>412</v>
      </c>
    </row>
    <row r="43" spans="2:5" x14ac:dyDescent="0.2">
      <c r="B43" s="47" t="s">
        <v>338</v>
      </c>
    </row>
  </sheetData>
  <sheetProtection sheet="1" objects="1" scenarios="1"/>
  <mergeCells count="1">
    <mergeCell ref="E17:J17"/>
  </mergeCells>
  <pageMargins left="0.7" right="0.7" top="0.75" bottom="0.75" header="0.3" footer="0.3"/>
  <pageSetup paperSize="9" orientation="portrait" horizontalDpi="0" verticalDpi="0"/>
  <ignoredErrors>
    <ignoredError sqref="C32" formulaRange="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7BF14-4AE9-7849-A413-EACD6AAD53EC}">
  <sheetPr>
    <tabColor theme="0"/>
  </sheetPr>
  <dimension ref="A1"/>
  <sheetViews>
    <sheetView workbookViewId="0"/>
  </sheetViews>
  <sheetFormatPr baseColWidth="10" defaultRowHeight="15" x14ac:dyDescent="0.2"/>
  <sheetData/>
  <pageMargins left="0.7" right="0.7" top="0.75" bottom="0.75" header="0.3" footer="0.3"/>
  <pageSetup paperSize="9" orientation="portrait" horizontalDpi="0" verticalDpi="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B891B-CBB2-9844-B981-9298C3D9D513}">
  <dimension ref="B3:Q40"/>
  <sheetViews>
    <sheetView showGridLines="0" topLeftCell="A4" zoomScale="125" workbookViewId="0">
      <selection activeCell="L9" sqref="L9"/>
    </sheetView>
  </sheetViews>
  <sheetFormatPr baseColWidth="10" defaultRowHeight="15" x14ac:dyDescent="0.2"/>
  <cols>
    <col min="1" max="1" width="2.6640625" customWidth="1"/>
    <col min="2" max="2" width="19.6640625" customWidth="1"/>
    <col min="3" max="3" width="13.1640625" customWidth="1"/>
    <col min="10" max="10" width="1" customWidth="1"/>
    <col min="14" max="14" width="1.1640625" customWidth="1"/>
  </cols>
  <sheetData>
    <row r="3" spans="2:17" x14ac:dyDescent="0.2">
      <c r="B3" s="33" t="s">
        <v>402</v>
      </c>
    </row>
    <row r="4" spans="2:17" ht="16" x14ac:dyDescent="0.2">
      <c r="B4" s="145" t="s">
        <v>352</v>
      </c>
      <c r="C4" s="44"/>
      <c r="D4" s="44"/>
      <c r="E4" s="44"/>
      <c r="F4" s="44"/>
      <c r="G4" s="44"/>
      <c r="H4" s="44"/>
      <c r="I4" s="44"/>
      <c r="J4" s="44"/>
      <c r="K4" s="44"/>
      <c r="L4" s="35"/>
      <c r="M4" s="35"/>
      <c r="N4" s="35"/>
      <c r="O4" s="35"/>
      <c r="P4" s="35"/>
      <c r="Q4" s="35"/>
    </row>
    <row r="5" spans="2:17" ht="5" customHeight="1" x14ac:dyDescent="0.2"/>
    <row r="6" spans="2:17" x14ac:dyDescent="0.2">
      <c r="B6" s="110"/>
      <c r="C6" s="138"/>
      <c r="D6" s="284" t="s">
        <v>359</v>
      </c>
      <c r="E6" s="284"/>
      <c r="F6" s="284"/>
      <c r="G6" s="284"/>
      <c r="H6" s="284"/>
      <c r="I6" s="284"/>
      <c r="J6" s="138"/>
      <c r="K6" s="284" t="s">
        <v>362</v>
      </c>
      <c r="L6" s="284"/>
      <c r="M6" s="284"/>
      <c r="N6" s="138"/>
      <c r="O6" s="284" t="s">
        <v>363</v>
      </c>
      <c r="P6" s="284"/>
      <c r="Q6" s="284"/>
    </row>
    <row r="7" spans="2:17" ht="32" x14ac:dyDescent="0.2">
      <c r="B7" s="139" t="s">
        <v>353</v>
      </c>
      <c r="C7" s="139" t="s">
        <v>354</v>
      </c>
      <c r="D7" s="140" t="s">
        <v>351</v>
      </c>
      <c r="E7" s="140" t="s">
        <v>355</v>
      </c>
      <c r="F7" s="139" t="s">
        <v>356</v>
      </c>
      <c r="G7" s="139" t="s">
        <v>357</v>
      </c>
      <c r="H7" s="140" t="s">
        <v>358</v>
      </c>
      <c r="I7" s="139"/>
      <c r="J7" s="139"/>
      <c r="K7" s="139" t="s">
        <v>360</v>
      </c>
      <c r="L7" s="139" t="s">
        <v>75</v>
      </c>
      <c r="M7" s="139" t="s">
        <v>361</v>
      </c>
      <c r="N7" s="139"/>
      <c r="O7" s="139" t="s">
        <v>364</v>
      </c>
      <c r="P7" s="139" t="s">
        <v>365</v>
      </c>
      <c r="Q7" s="139" t="s">
        <v>366</v>
      </c>
    </row>
    <row r="8" spans="2:17" ht="6" customHeight="1" x14ac:dyDescent="0.2"/>
    <row r="9" spans="2:17" x14ac:dyDescent="0.2">
      <c r="B9" s="124" t="str">
        <f>Comps_Data!C3</f>
        <v>Titan Company</v>
      </c>
      <c r="C9" s="124" t="str">
        <f>Comps_Data!D3</f>
        <v>TITAN</v>
      </c>
      <c r="D9" s="125">
        <f>Comps_Data!E3</f>
        <v>5169</v>
      </c>
      <c r="E9" s="125">
        <f>Comps_Data!F3</f>
        <v>88.78</v>
      </c>
      <c r="F9" s="125">
        <f>E9*D9</f>
        <v>458903.82</v>
      </c>
      <c r="G9" s="125">
        <f>Comps_Data!J3</f>
        <v>29037</v>
      </c>
      <c r="H9" s="125">
        <f>F9+G9</f>
        <v>487940.82</v>
      </c>
      <c r="I9" s="125"/>
      <c r="J9" s="125"/>
      <c r="K9" s="125">
        <f>Comps_Data!L3</f>
        <v>92417</v>
      </c>
      <c r="L9" s="125">
        <f>Comps_Data!M3</f>
        <v>10012.509079524109</v>
      </c>
      <c r="M9" s="125">
        <f>Comps_Data!N3</f>
        <v>5760</v>
      </c>
      <c r="N9" s="126"/>
      <c r="O9" s="127">
        <f>$H9/$K9</f>
        <v>5.2797734183104836</v>
      </c>
      <c r="P9" s="127">
        <f>$H9/$L9</f>
        <v>48.733121350956289</v>
      </c>
      <c r="Q9" s="127">
        <f>F9/M9</f>
        <v>79.670802083333328</v>
      </c>
    </row>
    <row r="10" spans="2:17" x14ac:dyDescent="0.2">
      <c r="B10" s="128" t="str">
        <f>Comps_Data!C4</f>
        <v>Kalyan Jewellers</v>
      </c>
      <c r="C10" s="128" t="str">
        <f>Comps_Data!D4</f>
        <v>KALYANKJIL</v>
      </c>
      <c r="D10" s="129">
        <f>Comps_Data!E4</f>
        <v>615.79999999999995</v>
      </c>
      <c r="E10" s="129">
        <f>Comps_Data!F4</f>
        <v>103.28</v>
      </c>
      <c r="F10" s="129">
        <f t="shared" ref="F10:F16" si="0">E10*D10</f>
        <v>63599.823999999993</v>
      </c>
      <c r="G10" s="129">
        <f>Comps_Data!J4</f>
        <v>5086.26</v>
      </c>
      <c r="H10" s="129">
        <f t="shared" ref="H10:H16" si="1">F10+G10</f>
        <v>68686.083999999988</v>
      </c>
      <c r="I10" s="129"/>
      <c r="J10" s="129"/>
      <c r="K10" s="129">
        <f>Comps_Data!L4</f>
        <v>39063.32</v>
      </c>
      <c r="L10" s="129">
        <f>Comps_Data!M4</f>
        <v>2833.018867924528</v>
      </c>
      <c r="M10" s="129">
        <f>Comps_Data!N4</f>
        <v>1434.98</v>
      </c>
      <c r="N10" s="130"/>
      <c r="O10" s="131">
        <f t="shared" ref="O10:O16" si="2">$H10/$K10</f>
        <v>1.7583268396029827</v>
      </c>
      <c r="P10" s="131">
        <f t="shared" ref="P10:P16" si="3">$H10/$L10</f>
        <v>24.244838175158172</v>
      </c>
      <c r="Q10" s="131">
        <f t="shared" ref="Q10:Q16" si="4">F10/M10</f>
        <v>44.321052558223805</v>
      </c>
    </row>
    <row r="11" spans="2:17" x14ac:dyDescent="0.2">
      <c r="B11" s="128" t="str">
        <f>Comps_Data!C5</f>
        <v>Thangamayil Jew.</v>
      </c>
      <c r="C11" s="128" t="str">
        <f>Comps_Data!D5</f>
        <v>THANGAMAYL</v>
      </c>
      <c r="D11" s="129">
        <f>Comps_Data!E5</f>
        <v>5440.5</v>
      </c>
      <c r="E11" s="129">
        <f>Comps_Data!F5</f>
        <v>3.11</v>
      </c>
      <c r="F11" s="129">
        <f t="shared" si="0"/>
        <v>16919.954999999998</v>
      </c>
      <c r="G11" s="129">
        <f>Comps_Data!J5</f>
        <v>671.42000000000007</v>
      </c>
      <c r="H11" s="129">
        <f t="shared" si="1"/>
        <v>17591.375</v>
      </c>
      <c r="I11" s="129"/>
      <c r="J11" s="129"/>
      <c r="K11" s="129">
        <f>Comps_Data!L5</f>
        <v>9622.2800000000007</v>
      </c>
      <c r="L11" s="129">
        <f>Comps_Data!M5</f>
        <v>636.88239538239543</v>
      </c>
      <c r="M11" s="129">
        <f>Comps_Data!N5</f>
        <v>391.04</v>
      </c>
      <c r="N11" s="130"/>
      <c r="O11" s="131">
        <f t="shared" si="2"/>
        <v>1.8281919669766415</v>
      </c>
      <c r="P11" s="131">
        <f t="shared" si="3"/>
        <v>27.621072787602849</v>
      </c>
      <c r="Q11" s="131">
        <f t="shared" si="4"/>
        <v>43.269115691489354</v>
      </c>
    </row>
    <row r="12" spans="2:17" x14ac:dyDescent="0.2">
      <c r="B12" s="128" t="str">
        <f>Comps_Data!C6</f>
        <v>Bluestone Jewel</v>
      </c>
      <c r="C12" s="128" t="str">
        <f>Comps_Data!D6</f>
        <v>BLUESTONE</v>
      </c>
      <c r="D12" s="129">
        <f>Comps_Data!E6</f>
        <v>794.7</v>
      </c>
      <c r="E12" s="129">
        <f>Comps_Data!F6</f>
        <v>15.27</v>
      </c>
      <c r="F12" s="129">
        <f t="shared" si="0"/>
        <v>12135.069</v>
      </c>
      <c r="G12" s="129">
        <f>Comps_Data!J6</f>
        <v>1797</v>
      </c>
      <c r="H12" s="129">
        <f t="shared" si="1"/>
        <v>13932.069</v>
      </c>
      <c r="I12" s="129"/>
      <c r="J12" s="129"/>
      <c r="K12" s="129">
        <f>Comps_Data!L6</f>
        <v>2680.6</v>
      </c>
      <c r="L12" s="129">
        <f>Comps_Data!M6</f>
        <v>488.41513917175826</v>
      </c>
      <c r="M12" s="129">
        <f>Comps_Data!N6</f>
        <v>53.89</v>
      </c>
      <c r="N12" s="130"/>
      <c r="O12" s="131">
        <f t="shared" si="2"/>
        <v>5.1973696187420728</v>
      </c>
      <c r="P12" s="131">
        <f t="shared" si="3"/>
        <v>28.525055598451843</v>
      </c>
      <c r="Q12" s="131">
        <f t="shared" si="4"/>
        <v>225.18220449062906</v>
      </c>
    </row>
    <row r="13" spans="2:17" x14ac:dyDescent="0.2">
      <c r="B13" s="128" t="str">
        <f>Comps_Data!C7</f>
        <v>Sky Gold &amp; Diam.</v>
      </c>
      <c r="C13" s="128" t="str">
        <f>Comps_Data!D7</f>
        <v>SKYGOLD</v>
      </c>
      <c r="D13" s="129">
        <f>Comps_Data!E7</f>
        <v>811.4</v>
      </c>
      <c r="E13" s="129">
        <f>Comps_Data!F7</f>
        <v>15.49</v>
      </c>
      <c r="F13" s="129">
        <f t="shared" si="0"/>
        <v>12568.585999999999</v>
      </c>
      <c r="G13" s="129">
        <f>Comps_Data!J7</f>
        <v>693.98</v>
      </c>
      <c r="H13" s="129">
        <f t="shared" si="1"/>
        <v>13262.565999999999</v>
      </c>
      <c r="I13" s="129"/>
      <c r="J13" s="129"/>
      <c r="K13" s="129">
        <f>Comps_Data!L7</f>
        <v>7176.44</v>
      </c>
      <c r="L13" s="129">
        <f>Comps_Data!M7</f>
        <v>559.68862275449101</v>
      </c>
      <c r="M13" s="129">
        <f>Comps_Data!N7</f>
        <v>343.15</v>
      </c>
      <c r="N13" s="130"/>
      <c r="O13" s="131">
        <f t="shared" si="2"/>
        <v>1.8480703524310103</v>
      </c>
      <c r="P13" s="131">
        <f t="shared" si="3"/>
        <v>23.696329460350064</v>
      </c>
      <c r="Q13" s="131">
        <f t="shared" si="4"/>
        <v>36.627090193792803</v>
      </c>
    </row>
    <row r="14" spans="2:17" x14ac:dyDescent="0.2">
      <c r="B14" s="128" t="str">
        <f>Comps_Data!C8</f>
        <v>PC Jeweller</v>
      </c>
      <c r="C14" s="128" t="str">
        <f>Comps_Data!D8</f>
        <v>PCJEWELLER</v>
      </c>
      <c r="D14" s="129">
        <f>Comps_Data!E8</f>
        <v>10.94</v>
      </c>
      <c r="E14" s="129">
        <f>Comps_Data!F8</f>
        <v>975.21</v>
      </c>
      <c r="F14" s="129">
        <f t="shared" si="0"/>
        <v>10668.797399999999</v>
      </c>
      <c r="G14" s="129">
        <f>Comps_Data!J8</f>
        <v>1102.78</v>
      </c>
      <c r="H14" s="129">
        <f t="shared" si="1"/>
        <v>11771.5774</v>
      </c>
      <c r="I14" s="129"/>
      <c r="J14" s="129"/>
      <c r="K14" s="129">
        <f>Comps_Data!L8</f>
        <v>3505.01</v>
      </c>
      <c r="L14" s="129">
        <f>Comps_Data!M8</f>
        <v>901.39836065573775</v>
      </c>
      <c r="M14" s="129">
        <f>Comps_Data!N8</f>
        <v>774.41</v>
      </c>
      <c r="N14" s="130"/>
      <c r="O14" s="131">
        <f t="shared" si="2"/>
        <v>3.358500375177246</v>
      </c>
      <c r="P14" s="131">
        <f t="shared" si="3"/>
        <v>13.059239858653131</v>
      </c>
      <c r="Q14" s="131">
        <f t="shared" si="4"/>
        <v>13.776678245373898</v>
      </c>
    </row>
    <row r="15" spans="2:17" x14ac:dyDescent="0.2">
      <c r="B15" s="128" t="str">
        <f>Comps_Data!C9</f>
        <v>P N Gadgil Jewe.</v>
      </c>
      <c r="C15" s="128" t="str">
        <f>Comps_Data!D9</f>
        <v>PNGJL</v>
      </c>
      <c r="D15" s="129">
        <f>Comps_Data!E9</f>
        <v>598</v>
      </c>
      <c r="E15" s="129">
        <f>Comps_Data!F9</f>
        <v>14.72</v>
      </c>
      <c r="F15" s="129">
        <f t="shared" si="0"/>
        <v>8802.56</v>
      </c>
      <c r="G15" s="129">
        <f>Comps_Data!J9</f>
        <v>1208.3999999999999</v>
      </c>
      <c r="H15" s="129">
        <f t="shared" si="1"/>
        <v>10010.959999999999</v>
      </c>
      <c r="I15" s="129"/>
      <c r="J15" s="129"/>
      <c r="K15" s="129">
        <f>Comps_Data!L9</f>
        <v>11437.52</v>
      </c>
      <c r="L15" s="129">
        <f>Comps_Data!M9</f>
        <v>773.28103579588731</v>
      </c>
      <c r="M15" s="129">
        <f>Comps_Data!N9</f>
        <v>445.82</v>
      </c>
      <c r="N15" s="130"/>
      <c r="O15" s="131">
        <f t="shared" si="2"/>
        <v>0.87527366072365331</v>
      </c>
      <c r="P15" s="131">
        <f t="shared" si="3"/>
        <v>12.946082389950734</v>
      </c>
      <c r="Q15" s="131">
        <f t="shared" si="4"/>
        <v>19.744650307298908</v>
      </c>
    </row>
    <row r="16" spans="2:17" x14ac:dyDescent="0.2">
      <c r="B16" s="128" t="str">
        <f>Comps_Data!C12</f>
        <v>Senco Gold</v>
      </c>
      <c r="C16" s="128" t="str">
        <f>Comps_Data!D12</f>
        <v>SENCO</v>
      </c>
      <c r="D16" s="129">
        <f>Comps_Data!E12</f>
        <v>354.85</v>
      </c>
      <c r="E16" s="129">
        <f>Comps_Data!F12</f>
        <v>16.39</v>
      </c>
      <c r="F16" s="129">
        <f t="shared" si="0"/>
        <v>5815.991500000001</v>
      </c>
      <c r="G16" s="129">
        <f>Comps_Data!J12</f>
        <v>2108.2600000000002</v>
      </c>
      <c r="H16" s="129">
        <f t="shared" si="1"/>
        <v>7924.2515000000012</v>
      </c>
      <c r="I16" s="129"/>
      <c r="J16" s="129"/>
      <c r="K16" s="129">
        <f>Comps_Data!L12</f>
        <v>9659.7900000000009</v>
      </c>
      <c r="L16" s="129">
        <f>Comps_Data!M12</f>
        <v>1075.6049382716049</v>
      </c>
      <c r="M16" s="129">
        <f>Comps_Data!N12</f>
        <v>570.79999999999995</v>
      </c>
      <c r="N16" s="130"/>
      <c r="O16" s="131">
        <f t="shared" si="2"/>
        <v>0.82033372361096879</v>
      </c>
      <c r="P16" s="131">
        <f t="shared" si="3"/>
        <v>7.3672509469262222</v>
      </c>
      <c r="Q16" s="131">
        <f t="shared" si="4"/>
        <v>10.189193237561319</v>
      </c>
    </row>
    <row r="17" spans="2:17" x14ac:dyDescent="0.2">
      <c r="B17" s="96"/>
    </row>
    <row r="18" spans="2:17" x14ac:dyDescent="0.2">
      <c r="B18" s="96"/>
    </row>
    <row r="19" spans="2:17" x14ac:dyDescent="0.2">
      <c r="B19" s="132" t="s">
        <v>394</v>
      </c>
      <c r="C19" s="43"/>
      <c r="D19" s="43"/>
      <c r="E19" s="43"/>
      <c r="F19" s="43"/>
      <c r="G19" s="43"/>
      <c r="H19" s="43"/>
      <c r="I19" s="43"/>
      <c r="J19" s="43"/>
      <c r="K19" s="43"/>
      <c r="L19" s="43"/>
      <c r="M19" s="43"/>
      <c r="N19" s="43"/>
      <c r="O19" s="133">
        <f>MAX(O10:O16)</f>
        <v>5.1973696187420728</v>
      </c>
      <c r="P19" s="133">
        <f t="shared" ref="P19:Q19" si="5">MAX(P10:P16)</f>
        <v>28.525055598451843</v>
      </c>
      <c r="Q19" s="133">
        <f t="shared" si="5"/>
        <v>225.18220449062906</v>
      </c>
    </row>
    <row r="20" spans="2:17" x14ac:dyDescent="0.2">
      <c r="B20" s="132" t="s">
        <v>395</v>
      </c>
      <c r="C20" s="43"/>
      <c r="D20" s="43"/>
      <c r="E20" s="43"/>
      <c r="F20" s="43"/>
      <c r="G20" s="43"/>
      <c r="H20" s="43"/>
      <c r="I20" s="43"/>
      <c r="J20" s="43"/>
      <c r="K20" s="43"/>
      <c r="L20" s="43"/>
      <c r="M20" s="43"/>
      <c r="N20" s="43"/>
      <c r="O20" s="133">
        <f>_xlfn.QUARTILE.EXC(O10:O16,3)</f>
        <v>3.358500375177246</v>
      </c>
      <c r="P20" s="133">
        <f t="shared" ref="P20:Q20" si="6">_xlfn.QUARTILE.EXC(P10:P16,3)</f>
        <v>27.621072787602849</v>
      </c>
      <c r="Q20" s="133">
        <f t="shared" si="6"/>
        <v>44.321052558223805</v>
      </c>
    </row>
    <row r="21" spans="2:17" x14ac:dyDescent="0.2">
      <c r="B21" s="134" t="s">
        <v>199</v>
      </c>
      <c r="C21" s="108"/>
      <c r="D21" s="108"/>
      <c r="E21" s="108"/>
      <c r="F21" s="108"/>
      <c r="G21" s="108"/>
      <c r="H21" s="108"/>
      <c r="I21" s="108"/>
      <c r="J21" s="108"/>
      <c r="K21" s="108"/>
      <c r="L21" s="108"/>
      <c r="M21" s="108"/>
      <c r="N21" s="108"/>
      <c r="O21" s="135">
        <f>AVERAGE(O10:O16)</f>
        <v>2.2408666481806536</v>
      </c>
      <c r="P21" s="135">
        <f t="shared" ref="P21:Q21" si="7">AVERAGE(P10:P16)</f>
        <v>19.637124173870433</v>
      </c>
      <c r="Q21" s="135">
        <f t="shared" si="7"/>
        <v>56.158569246338452</v>
      </c>
    </row>
    <row r="22" spans="2:17" x14ac:dyDescent="0.2">
      <c r="B22" s="134" t="s">
        <v>165</v>
      </c>
      <c r="C22" s="108"/>
      <c r="D22" s="108"/>
      <c r="E22" s="108"/>
      <c r="F22" s="108"/>
      <c r="G22" s="108"/>
      <c r="H22" s="108"/>
      <c r="I22" s="108"/>
      <c r="J22" s="108"/>
      <c r="K22" s="108"/>
      <c r="L22" s="108"/>
      <c r="M22" s="108"/>
      <c r="N22" s="108"/>
      <c r="O22" s="135">
        <f>MEDIAN(O10:O16)</f>
        <v>1.8281919669766415</v>
      </c>
      <c r="P22" s="135">
        <f t="shared" ref="P22:Q22" si="8">MEDIAN(P10:P16)</f>
        <v>23.696329460350064</v>
      </c>
      <c r="Q22" s="135">
        <f t="shared" si="8"/>
        <v>36.627090193792803</v>
      </c>
    </row>
    <row r="23" spans="2:17" x14ac:dyDescent="0.2">
      <c r="B23" s="132" t="s">
        <v>396</v>
      </c>
      <c r="C23" s="43"/>
      <c r="D23" s="43"/>
      <c r="E23" s="43"/>
      <c r="F23" s="43"/>
      <c r="G23" s="43"/>
      <c r="H23" s="43"/>
      <c r="I23" s="43"/>
      <c r="J23" s="43"/>
      <c r="K23" s="43"/>
      <c r="L23" s="43"/>
      <c r="M23" s="43"/>
      <c r="N23" s="43"/>
      <c r="O23" s="133">
        <f>_xlfn.QUARTILE.EXC(O10:O16,1)</f>
        <v>0.87527366072365331</v>
      </c>
      <c r="P23" s="133">
        <f t="shared" ref="P23:Q23" si="9">_xlfn.QUARTILE.EXC(P10:P16,1)</f>
        <v>12.946082389950734</v>
      </c>
      <c r="Q23" s="133">
        <f t="shared" si="9"/>
        <v>13.776678245373898</v>
      </c>
    </row>
    <row r="24" spans="2:17" x14ac:dyDescent="0.2">
      <c r="B24" s="132" t="s">
        <v>397</v>
      </c>
      <c r="C24" s="43"/>
      <c r="D24" s="43"/>
      <c r="E24" s="43"/>
      <c r="F24" s="43"/>
      <c r="G24" s="43"/>
      <c r="H24" s="43"/>
      <c r="I24" s="43"/>
      <c r="J24" s="43"/>
      <c r="K24" s="43"/>
      <c r="L24" s="43"/>
      <c r="M24" s="43"/>
      <c r="N24" s="43"/>
      <c r="O24" s="133">
        <f>MIN(O10:O16)</f>
        <v>0.82033372361096879</v>
      </c>
      <c r="P24" s="133">
        <f t="shared" ref="P24:Q24" si="10">MIN(P10:P16)</f>
        <v>7.3672509469262222</v>
      </c>
      <c r="Q24" s="133">
        <f t="shared" si="10"/>
        <v>10.189193237561319</v>
      </c>
    </row>
    <row r="27" spans="2:17" x14ac:dyDescent="0.2">
      <c r="B27" s="136" t="str">
        <f>"Comparable Valuation - "&amp;'Data Sheet'!B2</f>
        <v>Comparable Valuation - TITAN COMPANY LTD</v>
      </c>
      <c r="C27" s="136"/>
      <c r="D27" s="136"/>
      <c r="E27" s="136"/>
      <c r="F27" s="136"/>
      <c r="G27" s="136"/>
      <c r="H27" s="136"/>
      <c r="I27" s="136"/>
      <c r="J27" s="136"/>
      <c r="K27" s="136"/>
      <c r="L27" s="137"/>
      <c r="M27" s="137"/>
      <c r="N27" s="137"/>
      <c r="O27" s="137" t="str">
        <f>O7</f>
        <v>EV/Revenue</v>
      </c>
      <c r="P27" s="137" t="str">
        <f>P7</f>
        <v>EV/EBITDA</v>
      </c>
      <c r="Q27" s="137" t="str">
        <f>Q7</f>
        <v>P/E</v>
      </c>
    </row>
    <row r="28" spans="2:17" ht="5" customHeight="1" x14ac:dyDescent="0.2"/>
    <row r="29" spans="2:17" x14ac:dyDescent="0.2">
      <c r="B29" s="141" t="s">
        <v>398</v>
      </c>
      <c r="C29" s="141"/>
      <c r="D29" s="141"/>
      <c r="E29" s="141"/>
      <c r="F29" s="141"/>
      <c r="G29" s="141"/>
      <c r="H29" s="141"/>
      <c r="I29" s="141"/>
      <c r="J29" s="141"/>
      <c r="K29" s="141"/>
      <c r="L29" s="141"/>
      <c r="M29" s="141"/>
      <c r="N29" s="141"/>
      <c r="O29" s="141">
        <f>O22*K9</f>
        <v>168956.01701208029</v>
      </c>
      <c r="P29" s="141">
        <f>P22*L9</f>
        <v>237259.71387314962</v>
      </c>
      <c r="Q29" s="142">
        <f>+Q30+Q31</f>
        <v>240009.03951624656</v>
      </c>
    </row>
    <row r="30" spans="2:17" x14ac:dyDescent="0.2">
      <c r="B30" s="141" t="s">
        <v>357</v>
      </c>
      <c r="C30" s="141"/>
      <c r="D30" s="141"/>
      <c r="E30" s="141"/>
      <c r="F30" s="141"/>
      <c r="G30" s="141"/>
      <c r="H30" s="141"/>
      <c r="I30" s="141"/>
      <c r="J30" s="141"/>
      <c r="K30" s="141"/>
      <c r="L30" s="141"/>
      <c r="M30" s="141"/>
      <c r="N30" s="141"/>
      <c r="O30" s="142">
        <f>$G$9</f>
        <v>29037</v>
      </c>
      <c r="P30" s="142">
        <f t="shared" ref="P30:Q30" si="11">$G$9</f>
        <v>29037</v>
      </c>
      <c r="Q30" s="142">
        <f t="shared" si="11"/>
        <v>29037</v>
      </c>
    </row>
    <row r="31" spans="2:17" x14ac:dyDescent="0.2">
      <c r="B31" s="141" t="s">
        <v>399</v>
      </c>
      <c r="C31" s="141"/>
      <c r="D31" s="141"/>
      <c r="E31" s="141"/>
      <c r="F31" s="141"/>
      <c r="G31" s="141"/>
      <c r="H31" s="141"/>
      <c r="I31" s="141"/>
      <c r="J31" s="141"/>
      <c r="K31" s="141"/>
      <c r="L31" s="141"/>
      <c r="M31" s="141"/>
      <c r="N31" s="141"/>
      <c r="O31" s="142">
        <f>O29-O30</f>
        <v>139919.01701208029</v>
      </c>
      <c r="P31" s="142">
        <f t="shared" ref="P31" si="12">P29-P30</f>
        <v>208222.71387314962</v>
      </c>
      <c r="Q31" s="142">
        <f>Q22*M9</f>
        <v>210972.03951624656</v>
      </c>
    </row>
    <row r="32" spans="2:17" x14ac:dyDescent="0.2">
      <c r="B32" s="141" t="s">
        <v>400</v>
      </c>
      <c r="C32" s="141"/>
      <c r="D32" s="141"/>
      <c r="E32" s="141"/>
      <c r="F32" s="141"/>
      <c r="G32" s="141"/>
      <c r="H32" s="141"/>
      <c r="I32" s="141"/>
      <c r="J32" s="141"/>
      <c r="K32" s="141"/>
      <c r="L32" s="141"/>
      <c r="M32" s="141"/>
      <c r="N32" s="141"/>
      <c r="O32" s="142">
        <f>$E$9</f>
        <v>88.78</v>
      </c>
      <c r="P32" s="142">
        <f t="shared" ref="P32:Q32" si="13">$E$9</f>
        <v>88.78</v>
      </c>
      <c r="Q32" s="142">
        <f t="shared" si="13"/>
        <v>88.78</v>
      </c>
    </row>
    <row r="33" spans="2:17" ht="4" customHeight="1" x14ac:dyDescent="0.2">
      <c r="O33" s="46"/>
      <c r="P33" s="46"/>
      <c r="Q33" s="46"/>
    </row>
    <row r="34" spans="2:17" x14ac:dyDescent="0.2">
      <c r="B34" s="143" t="s">
        <v>401</v>
      </c>
      <c r="C34" s="143"/>
      <c r="D34" s="143"/>
      <c r="E34" s="143"/>
      <c r="F34" s="143"/>
      <c r="G34" s="143"/>
      <c r="H34" s="143"/>
      <c r="I34" s="143"/>
      <c r="J34" s="143"/>
      <c r="K34" s="143"/>
      <c r="L34" s="143"/>
      <c r="M34" s="143"/>
      <c r="N34" s="143"/>
      <c r="O34" s="143">
        <f>O31/O32</f>
        <v>1576.0195653534613</v>
      </c>
      <c r="P34" s="143">
        <f t="shared" ref="P34:Q34" si="14">P31/P32</f>
        <v>2345.3786198822891</v>
      </c>
      <c r="Q34" s="143">
        <f t="shared" si="14"/>
        <v>2376.3464689822772</v>
      </c>
    </row>
    <row r="36" spans="2:17" ht="32" x14ac:dyDescent="0.2">
      <c r="O36" s="144" t="str">
        <f>IF(O34&gt;$D$9,"Trading at discount","Trading at premium")</f>
        <v>Trading at premium</v>
      </c>
      <c r="P36" s="144" t="str">
        <f t="shared" ref="P36:Q36" si="15">IF(P34&gt;$D$9,"Trading at discount","Trading at premium")</f>
        <v>Trading at premium</v>
      </c>
      <c r="Q36" s="144" t="str">
        <f t="shared" si="15"/>
        <v>Trading at premium</v>
      </c>
    </row>
    <row r="40" spans="2:17" x14ac:dyDescent="0.2">
      <c r="B40" s="47" t="s">
        <v>1316</v>
      </c>
    </row>
  </sheetData>
  <sheetProtection sheet="1" objects="1" scenarios="1"/>
  <mergeCells count="3">
    <mergeCell ref="D6:I6"/>
    <mergeCell ref="K6:M6"/>
    <mergeCell ref="O6:Q6"/>
  </mergeCells>
  <pageMargins left="0.7" right="0.7" top="0.75" bottom="0.75" header="0.3" footer="0.3"/>
  <pageSetup paperSize="9" orientation="portrait" horizontalDpi="0" verticalDpi="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C1E3F-60C5-3742-9390-1BDDCEAAFF03}">
  <sheetPr>
    <tabColor theme="0" tint="-0.14999847407452621"/>
  </sheetPr>
  <dimension ref="A1"/>
  <sheetViews>
    <sheetView workbookViewId="0"/>
  </sheetViews>
  <sheetFormatPr baseColWidth="10" defaultRowHeight="15" x14ac:dyDescent="0.2"/>
  <sheetData/>
  <pageMargins left="0.7" right="0.7" top="0.75" bottom="0.75" header="0.3" footer="0.3"/>
  <pageSetup paperSize="9" orientation="portrait" horizontalDpi="0" verticalDpi="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FBBE0-EAF6-9A4E-9B74-1C525CBA9CA2}">
  <dimension ref="A1:K100"/>
  <sheetViews>
    <sheetView showGridLines="0" zoomScale="125" workbookViewId="0">
      <selection activeCell="B10" sqref="B10"/>
    </sheetView>
  </sheetViews>
  <sheetFormatPr baseColWidth="10" defaultRowHeight="15" x14ac:dyDescent="0.2"/>
  <cols>
    <col min="1" max="1" width="23.33203125" bestFit="1" customWidth="1"/>
    <col min="2" max="2" width="17.6640625" bestFit="1" customWidth="1"/>
    <col min="3" max="3" width="11.5" bestFit="1" customWidth="1"/>
    <col min="4" max="4" width="11.1640625" bestFit="1" customWidth="1"/>
    <col min="5" max="5" width="47.6640625" bestFit="1" customWidth="1"/>
    <col min="6" max="11" width="11.1640625" bestFit="1" customWidth="1"/>
  </cols>
  <sheetData>
    <row r="1" spans="1:11" x14ac:dyDescent="0.2">
      <c r="A1" t="s">
        <v>1332</v>
      </c>
    </row>
    <row r="2" spans="1:11" x14ac:dyDescent="0.2">
      <c r="A2" s="1" t="s">
        <v>6</v>
      </c>
      <c r="B2" s="1" t="s">
        <v>7</v>
      </c>
      <c r="E2" s="2"/>
    </row>
    <row r="3" spans="1:11" x14ac:dyDescent="0.2">
      <c r="A3" s="1" t="s">
        <v>8</v>
      </c>
      <c r="B3" s="3" t="s">
        <v>9</v>
      </c>
      <c r="E3" s="4" t="s">
        <v>10</v>
      </c>
    </row>
    <row r="4" spans="1:11" x14ac:dyDescent="0.2">
      <c r="A4" s="1" t="s">
        <v>11</v>
      </c>
      <c r="B4" s="3" t="s">
        <v>9</v>
      </c>
    </row>
    <row r="6" spans="1:11" x14ac:dyDescent="0.2">
      <c r="A6" s="1" t="s">
        <v>12</v>
      </c>
    </row>
    <row r="7" spans="1:11" x14ac:dyDescent="0.2">
      <c r="A7" s="3" t="s">
        <v>13</v>
      </c>
      <c r="B7" s="3">
        <v>88.78</v>
      </c>
    </row>
    <row r="8" spans="1:11" x14ac:dyDescent="0.2">
      <c r="A8" s="3" t="s">
        <v>14</v>
      </c>
      <c r="B8" s="3">
        <v>1</v>
      </c>
    </row>
    <row r="9" spans="1:11" x14ac:dyDescent="0.2">
      <c r="A9" s="3" t="s">
        <v>15</v>
      </c>
      <c r="B9" s="214">
        <f>Teaser!B11</f>
        <v>5169</v>
      </c>
      <c r="C9" s="195" t="str">
        <f>Teaser!C11</f>
        <v>(28th August, 2026 - close price)</v>
      </c>
    </row>
    <row r="10" spans="1:11" x14ac:dyDescent="0.2">
      <c r="A10" s="3" t="s">
        <v>16</v>
      </c>
      <c r="B10" s="265">
        <f>B9*B7</f>
        <v>458903.82</v>
      </c>
      <c r="C10" s="264"/>
    </row>
    <row r="16" spans="1:11" x14ac:dyDescent="0.2">
      <c r="A16" s="1" t="s">
        <v>17</v>
      </c>
      <c r="B16" s="14">
        <v>32432.080000000002</v>
      </c>
      <c r="K16" s="14">
        <v>29129.19</v>
      </c>
    </row>
    <row r="17" spans="1:11" x14ac:dyDescent="0.2">
      <c r="A17" s="1" t="s">
        <v>1</v>
      </c>
      <c r="B17" s="5">
        <v>42825</v>
      </c>
      <c r="C17" s="5">
        <v>43190</v>
      </c>
      <c r="D17" s="5">
        <v>43555</v>
      </c>
      <c r="E17" s="5">
        <v>43921</v>
      </c>
      <c r="F17" s="5">
        <v>44286</v>
      </c>
      <c r="G17" s="5">
        <v>44651</v>
      </c>
      <c r="H17" s="5">
        <v>45016</v>
      </c>
      <c r="I17" s="5">
        <v>45382</v>
      </c>
      <c r="J17" s="5">
        <v>45747</v>
      </c>
      <c r="K17" s="5">
        <v>46112</v>
      </c>
    </row>
    <row r="18" spans="1:11" x14ac:dyDescent="0.2">
      <c r="A18" s="3" t="s">
        <v>18</v>
      </c>
      <c r="B18" s="3">
        <v>13260.83</v>
      </c>
      <c r="C18" s="3">
        <v>16119.77</v>
      </c>
      <c r="D18" s="3">
        <v>19778.52</v>
      </c>
      <c r="E18" s="3">
        <v>21052</v>
      </c>
      <c r="F18" s="3">
        <v>21644</v>
      </c>
      <c r="G18" s="3">
        <v>28799</v>
      </c>
      <c r="H18" s="3">
        <v>40575</v>
      </c>
      <c r="I18" s="3">
        <v>51084</v>
      </c>
      <c r="J18" s="3">
        <v>60456</v>
      </c>
      <c r="K18" s="3">
        <v>87584</v>
      </c>
    </row>
    <row r="19" spans="1:11" x14ac:dyDescent="0.2">
      <c r="A19" s="3" t="s">
        <v>19</v>
      </c>
      <c r="B19">
        <v>9821.14</v>
      </c>
      <c r="C19">
        <v>12664.83</v>
      </c>
      <c r="D19">
        <v>15170.66</v>
      </c>
      <c r="E19">
        <v>16033</v>
      </c>
      <c r="F19">
        <v>16292</v>
      </c>
      <c r="G19">
        <v>26436</v>
      </c>
      <c r="H19">
        <v>32589</v>
      </c>
      <c r="I19">
        <v>42103</v>
      </c>
      <c r="J19">
        <v>55271</v>
      </c>
      <c r="K19">
        <v>80243</v>
      </c>
    </row>
    <row r="20" spans="1:11" x14ac:dyDescent="0.2">
      <c r="A20" s="3" t="s">
        <v>20</v>
      </c>
      <c r="B20">
        <v>313.70999999999998</v>
      </c>
      <c r="C20">
        <v>978.61</v>
      </c>
      <c r="D20">
        <v>776.41</v>
      </c>
      <c r="E20">
        <v>878</v>
      </c>
      <c r="F20">
        <v>-122</v>
      </c>
      <c r="G20">
        <v>4795</v>
      </c>
      <c r="H20">
        <v>2234</v>
      </c>
      <c r="I20">
        <v>2671</v>
      </c>
      <c r="J20">
        <v>7815</v>
      </c>
      <c r="K20">
        <v>9936</v>
      </c>
    </row>
    <row r="21" spans="1:11" x14ac:dyDescent="0.2">
      <c r="A21" s="3" t="s">
        <v>21</v>
      </c>
      <c r="B21" s="3">
        <v>43.84</v>
      </c>
      <c r="C21" s="3">
        <v>45.32</v>
      </c>
      <c r="D21" s="3">
        <v>48.51</v>
      </c>
      <c r="E21" s="3">
        <v>52</v>
      </c>
      <c r="F21" s="3">
        <v>37</v>
      </c>
      <c r="G21" s="3">
        <v>45</v>
      </c>
      <c r="H21" s="3">
        <v>59</v>
      </c>
      <c r="I21" s="3">
        <v>71</v>
      </c>
      <c r="J21" s="3">
        <v>78</v>
      </c>
      <c r="K21" s="3">
        <v>87</v>
      </c>
    </row>
    <row r="22" spans="1:11" x14ac:dyDescent="0.2">
      <c r="A22" s="3" t="s">
        <v>22</v>
      </c>
      <c r="B22" s="3">
        <v>160.41999999999999</v>
      </c>
      <c r="C22" s="3">
        <v>124.83</v>
      </c>
      <c r="D22" s="3">
        <v>193.28</v>
      </c>
      <c r="E22" s="3">
        <v>215</v>
      </c>
      <c r="F22" s="3">
        <v>141</v>
      </c>
      <c r="G22" s="3">
        <v>183</v>
      </c>
      <c r="H22" s="3">
        <v>225</v>
      </c>
      <c r="I22" s="3">
        <v>286</v>
      </c>
      <c r="J22" s="3">
        <v>326</v>
      </c>
      <c r="K22" s="3">
        <v>375</v>
      </c>
    </row>
    <row r="23" spans="1:11" x14ac:dyDescent="0.2">
      <c r="A23" s="3" t="s">
        <v>23</v>
      </c>
      <c r="B23" s="3">
        <v>894.32</v>
      </c>
      <c r="C23" s="3">
        <v>906.26</v>
      </c>
      <c r="D23" s="3">
        <v>1024.44</v>
      </c>
      <c r="E23" s="3">
        <v>1204</v>
      </c>
      <c r="F23" s="3">
        <v>1069</v>
      </c>
      <c r="G23" s="3">
        <v>1356</v>
      </c>
      <c r="H23" s="3">
        <v>1656</v>
      </c>
      <c r="I23" s="3">
        <v>1875</v>
      </c>
      <c r="J23" s="3">
        <v>2164</v>
      </c>
      <c r="K23" s="3">
        <v>2692</v>
      </c>
    </row>
    <row r="24" spans="1:11" x14ac:dyDescent="0.2">
      <c r="A24" s="3" t="s">
        <v>24</v>
      </c>
      <c r="B24" s="3">
        <v>1211.1600000000001</v>
      </c>
      <c r="C24" s="3">
        <v>1277.81</v>
      </c>
      <c r="D24" s="3">
        <v>1454.32</v>
      </c>
      <c r="E24" s="3">
        <v>1470</v>
      </c>
      <c r="F24" s="3">
        <v>1029</v>
      </c>
      <c r="G24" s="3">
        <v>1697</v>
      </c>
      <c r="H24" s="3">
        <v>2715</v>
      </c>
      <c r="I24" s="3">
        <v>3249</v>
      </c>
      <c r="J24" s="3">
        <v>3494</v>
      </c>
      <c r="K24" s="3">
        <v>4185</v>
      </c>
    </row>
    <row r="25" spans="1:11" x14ac:dyDescent="0.2">
      <c r="A25" s="3" t="s">
        <v>25</v>
      </c>
      <c r="B25" s="3">
        <v>279.76</v>
      </c>
      <c r="C25" s="3">
        <v>435.13</v>
      </c>
      <c r="D25" s="3">
        <v>669.93</v>
      </c>
      <c r="E25" s="3">
        <v>493</v>
      </c>
      <c r="F25" s="3">
        <v>1229</v>
      </c>
      <c r="G25" s="3">
        <v>533</v>
      </c>
      <c r="H25" s="3">
        <v>683</v>
      </c>
      <c r="I25" s="3">
        <v>879</v>
      </c>
      <c r="J25" s="3">
        <v>1244</v>
      </c>
      <c r="K25" s="3">
        <v>1581</v>
      </c>
    </row>
    <row r="26" spans="1:11" x14ac:dyDescent="0.2">
      <c r="A26" s="3" t="s">
        <v>26</v>
      </c>
      <c r="B26" s="3">
        <v>-42.38</v>
      </c>
      <c r="C26" s="3">
        <v>69.930000000000007</v>
      </c>
      <c r="D26" s="3">
        <v>178.48</v>
      </c>
      <c r="E26" s="3">
        <v>153</v>
      </c>
      <c r="F26" s="3">
        <v>180</v>
      </c>
      <c r="G26" s="3">
        <v>177</v>
      </c>
      <c r="H26" s="3">
        <v>306</v>
      </c>
      <c r="I26" s="3">
        <v>534</v>
      </c>
      <c r="J26" s="3">
        <v>487</v>
      </c>
      <c r="K26" s="3">
        <v>450</v>
      </c>
    </row>
    <row r="27" spans="1:11" x14ac:dyDescent="0.2">
      <c r="A27" s="3" t="s">
        <v>27</v>
      </c>
      <c r="B27" s="3">
        <v>110.53</v>
      </c>
      <c r="C27" s="3">
        <v>131.43</v>
      </c>
      <c r="D27" s="3">
        <v>162.84</v>
      </c>
      <c r="E27" s="3">
        <v>348</v>
      </c>
      <c r="F27" s="3">
        <v>375</v>
      </c>
      <c r="G27" s="3">
        <v>399</v>
      </c>
      <c r="H27" s="3">
        <v>441</v>
      </c>
      <c r="I27" s="3">
        <v>584</v>
      </c>
      <c r="J27" s="3">
        <v>693</v>
      </c>
      <c r="K27" s="3">
        <v>826</v>
      </c>
    </row>
    <row r="28" spans="1:11" x14ac:dyDescent="0.2">
      <c r="A28" s="3" t="s">
        <v>28</v>
      </c>
      <c r="B28" s="3">
        <v>37.74</v>
      </c>
      <c r="C28" s="3">
        <v>52.92</v>
      </c>
      <c r="D28" s="3">
        <v>52.54</v>
      </c>
      <c r="E28" s="3">
        <v>166</v>
      </c>
      <c r="F28" s="3">
        <v>203</v>
      </c>
      <c r="G28" s="3">
        <v>218</v>
      </c>
      <c r="H28" s="3">
        <v>300</v>
      </c>
      <c r="I28" s="3">
        <v>619</v>
      </c>
      <c r="J28">
        <v>953</v>
      </c>
      <c r="K28">
        <v>1180</v>
      </c>
    </row>
    <row r="29" spans="1:11" x14ac:dyDescent="0.2">
      <c r="A29" s="3" t="s">
        <v>29</v>
      </c>
      <c r="B29" s="3">
        <v>973.25</v>
      </c>
      <c r="C29" s="3">
        <v>1529.78</v>
      </c>
      <c r="D29" s="3">
        <v>1956.89</v>
      </c>
      <c r="E29" s="3">
        <v>2102</v>
      </c>
      <c r="F29" s="3">
        <v>1327</v>
      </c>
      <c r="G29" s="3">
        <v>2904</v>
      </c>
      <c r="H29" s="3">
        <v>4447</v>
      </c>
      <c r="I29" s="3">
        <v>4623</v>
      </c>
      <c r="J29" s="3">
        <v>4535</v>
      </c>
      <c r="K29" s="3">
        <v>6801</v>
      </c>
    </row>
    <row r="30" spans="1:11" x14ac:dyDescent="0.2">
      <c r="A30" s="3" t="s">
        <v>30</v>
      </c>
      <c r="B30" s="3">
        <v>275.97000000000003</v>
      </c>
      <c r="C30" s="3">
        <v>427.87</v>
      </c>
      <c r="D30" s="3">
        <v>568.24</v>
      </c>
      <c r="E30" s="3">
        <v>609</v>
      </c>
      <c r="F30" s="3">
        <v>353</v>
      </c>
      <c r="G30" s="3">
        <v>706</v>
      </c>
      <c r="H30" s="3">
        <v>1173</v>
      </c>
      <c r="I30" s="3">
        <v>1127</v>
      </c>
      <c r="J30" s="3">
        <v>1198</v>
      </c>
      <c r="K30" s="3">
        <v>1728</v>
      </c>
    </row>
    <row r="31" spans="1:11" x14ac:dyDescent="0.2">
      <c r="A31" s="3" t="s">
        <v>31</v>
      </c>
      <c r="B31" s="3">
        <v>711.47</v>
      </c>
      <c r="C31" s="3">
        <v>1130.0899999999999</v>
      </c>
      <c r="D31" s="3">
        <v>1404.15</v>
      </c>
      <c r="E31" s="3">
        <v>1501</v>
      </c>
      <c r="F31" s="3">
        <v>973</v>
      </c>
      <c r="G31" s="3">
        <v>2173</v>
      </c>
      <c r="H31" s="3">
        <v>3250</v>
      </c>
      <c r="I31" s="3">
        <v>3496</v>
      </c>
      <c r="J31" s="3">
        <v>3337</v>
      </c>
      <c r="K31" s="3">
        <v>5073</v>
      </c>
    </row>
    <row r="32" spans="1:11" x14ac:dyDescent="0.2">
      <c r="A32" s="3" t="s">
        <v>32</v>
      </c>
      <c r="B32" s="3">
        <v>230.83</v>
      </c>
      <c r="C32" s="3">
        <v>332.92</v>
      </c>
      <c r="D32">
        <v>443.9</v>
      </c>
      <c r="E32" s="3">
        <v>356</v>
      </c>
      <c r="F32">
        <v>356</v>
      </c>
      <c r="G32">
        <v>667.5</v>
      </c>
      <c r="H32">
        <v>890</v>
      </c>
      <c r="I32">
        <v>979</v>
      </c>
      <c r="J32">
        <v>979</v>
      </c>
      <c r="K32">
        <v>1335</v>
      </c>
    </row>
    <row r="33" spans="1:11" x14ac:dyDescent="0.2">
      <c r="A33" s="3" t="s">
        <v>33</v>
      </c>
      <c r="B33" s="6">
        <v>0.28000000000000003</v>
      </c>
      <c r="C33" s="6">
        <v>0.25</v>
      </c>
      <c r="D33" s="6">
        <v>0.35</v>
      </c>
      <c r="E33" s="6">
        <v>0.21</v>
      </c>
      <c r="F33" s="6">
        <v>0.35</v>
      </c>
      <c r="G33" s="6">
        <v>0.39</v>
      </c>
      <c r="H33" s="6">
        <v>0.08</v>
      </c>
      <c r="I33" s="6">
        <v>-0.04</v>
      </c>
      <c r="J33" s="6">
        <v>-0.24</v>
      </c>
      <c r="K33" s="6">
        <v>-0.6</v>
      </c>
    </row>
    <row r="35" spans="1:11" x14ac:dyDescent="0.2">
      <c r="A35" s="3" t="s">
        <v>34</v>
      </c>
      <c r="B35" s="14">
        <f>HistoricalFS!C18</f>
        <v>1163.8999999999996</v>
      </c>
      <c r="C35" s="14">
        <f>HistoricalFS!D18</f>
        <v>1644.2000000000012</v>
      </c>
      <c r="D35" s="14">
        <f>HistoricalFS!E18</f>
        <v>1993.7900000000009</v>
      </c>
      <c r="E35" s="14">
        <f>HistoricalFS!F18</f>
        <v>2463</v>
      </c>
      <c r="F35" s="14">
        <f>HistoricalFS!G18</f>
        <v>1725</v>
      </c>
      <c r="G35" s="14">
        <f>HistoricalFS!H18</f>
        <v>3344</v>
      </c>
      <c r="H35" s="14">
        <f>HistoricalFS!I18</f>
        <v>4882</v>
      </c>
      <c r="I35" s="14">
        <f>HistoricalFS!J18</f>
        <v>5292</v>
      </c>
      <c r="J35" s="14">
        <f>HistoricalFS!K18</f>
        <v>5694</v>
      </c>
      <c r="K35" s="14">
        <f>HistoricalFS!L18</f>
        <v>8357</v>
      </c>
    </row>
    <row r="41" spans="1:11" x14ac:dyDescent="0.2">
      <c r="A41" s="1" t="s">
        <v>35</v>
      </c>
    </row>
    <row r="42" spans="1:11" x14ac:dyDescent="0.2">
      <c r="A42" s="1" t="s">
        <v>1</v>
      </c>
      <c r="B42" s="5">
        <v>45382</v>
      </c>
      <c r="C42" s="5">
        <v>45473</v>
      </c>
      <c r="D42" s="5">
        <v>45565</v>
      </c>
      <c r="E42" s="5">
        <v>45657</v>
      </c>
      <c r="F42" s="5">
        <v>45747</v>
      </c>
      <c r="G42" s="5">
        <v>45838</v>
      </c>
      <c r="H42" s="5">
        <v>45930</v>
      </c>
      <c r="I42" s="5">
        <v>46022</v>
      </c>
      <c r="J42" s="5">
        <v>46112</v>
      </c>
      <c r="K42" s="5">
        <v>46203</v>
      </c>
    </row>
    <row r="43" spans="1:11" x14ac:dyDescent="0.2">
      <c r="A43" s="3" t="s">
        <v>18</v>
      </c>
      <c r="B43" s="3">
        <v>12494</v>
      </c>
      <c r="C43" s="3">
        <v>13266</v>
      </c>
      <c r="D43" s="3">
        <v>14534</v>
      </c>
      <c r="E43" s="3">
        <v>17740</v>
      </c>
      <c r="F43" s="3">
        <v>14916</v>
      </c>
      <c r="G43" s="3">
        <v>16523</v>
      </c>
      <c r="H43" s="3">
        <v>18725</v>
      </c>
      <c r="I43" s="3">
        <v>25416</v>
      </c>
      <c r="J43" s="3">
        <v>26920</v>
      </c>
      <c r="K43" s="3">
        <v>21356</v>
      </c>
    </row>
    <row r="44" spans="1:11" x14ac:dyDescent="0.2">
      <c r="A44" s="3" t="s">
        <v>36</v>
      </c>
      <c r="B44" s="3">
        <v>11303</v>
      </c>
      <c r="C44" s="3">
        <v>12019</v>
      </c>
      <c r="D44" s="3">
        <v>13298</v>
      </c>
      <c r="E44" s="3">
        <v>16066</v>
      </c>
      <c r="F44" s="3">
        <v>13379</v>
      </c>
      <c r="G44" s="3">
        <v>14693</v>
      </c>
      <c r="H44" s="3">
        <v>16850</v>
      </c>
      <c r="I44" s="3">
        <v>22703</v>
      </c>
      <c r="J44" s="3">
        <v>24982</v>
      </c>
      <c r="K44" s="3">
        <v>18466</v>
      </c>
    </row>
    <row r="45" spans="1:11" x14ac:dyDescent="0.2">
      <c r="A45" s="3" t="s">
        <v>26</v>
      </c>
      <c r="B45" s="3">
        <v>159</v>
      </c>
      <c r="C45" s="3">
        <v>120</v>
      </c>
      <c r="D45" s="3">
        <v>123</v>
      </c>
      <c r="E45" s="3">
        <v>128</v>
      </c>
      <c r="F45" s="3">
        <v>116</v>
      </c>
      <c r="G45" s="3">
        <v>105</v>
      </c>
      <c r="H45" s="3">
        <v>113</v>
      </c>
      <c r="I45" s="3">
        <v>-1</v>
      </c>
      <c r="J45" s="3">
        <v>235</v>
      </c>
      <c r="K45" s="3">
        <v>148</v>
      </c>
    </row>
    <row r="46" spans="1:11" x14ac:dyDescent="0.2">
      <c r="A46" s="3" t="s">
        <v>27</v>
      </c>
      <c r="B46" s="3">
        <v>158</v>
      </c>
      <c r="C46" s="3">
        <v>164</v>
      </c>
      <c r="D46" s="3">
        <v>171</v>
      </c>
      <c r="E46" s="3">
        <v>175</v>
      </c>
      <c r="F46" s="3">
        <v>183</v>
      </c>
      <c r="G46" s="3">
        <v>184</v>
      </c>
      <c r="H46" s="3">
        <v>189</v>
      </c>
      <c r="I46" s="3">
        <v>207</v>
      </c>
      <c r="J46" s="3">
        <v>246</v>
      </c>
      <c r="K46" s="3">
        <v>256</v>
      </c>
    </row>
    <row r="47" spans="1:11" x14ac:dyDescent="0.2">
      <c r="A47" s="3" t="s">
        <v>28</v>
      </c>
      <c r="B47">
        <v>201</v>
      </c>
      <c r="C47">
        <v>230</v>
      </c>
      <c r="D47">
        <v>240</v>
      </c>
      <c r="E47">
        <v>231</v>
      </c>
      <c r="F47">
        <v>252</v>
      </c>
      <c r="G47">
        <v>271</v>
      </c>
      <c r="H47">
        <v>277</v>
      </c>
      <c r="I47">
        <v>282</v>
      </c>
      <c r="J47">
        <v>350</v>
      </c>
      <c r="K47">
        <v>353</v>
      </c>
    </row>
    <row r="48" spans="1:11" x14ac:dyDescent="0.2">
      <c r="A48" s="3" t="s">
        <v>29</v>
      </c>
      <c r="B48" s="3">
        <v>991</v>
      </c>
      <c r="C48" s="3">
        <v>973</v>
      </c>
      <c r="D48" s="3">
        <v>948</v>
      </c>
      <c r="E48" s="3">
        <v>1396</v>
      </c>
      <c r="F48" s="3">
        <v>1218</v>
      </c>
      <c r="G48" s="3">
        <v>1480</v>
      </c>
      <c r="H48" s="3">
        <v>1522</v>
      </c>
      <c r="I48" s="3">
        <v>2223</v>
      </c>
      <c r="J48" s="3">
        <v>1577</v>
      </c>
      <c r="K48" s="3">
        <v>2429</v>
      </c>
    </row>
    <row r="49" spans="1:11" x14ac:dyDescent="0.2">
      <c r="A49" s="3" t="s">
        <v>30</v>
      </c>
      <c r="B49" s="3">
        <v>220</v>
      </c>
      <c r="C49" s="3">
        <v>258</v>
      </c>
      <c r="D49" s="3">
        <v>244</v>
      </c>
      <c r="E49" s="3">
        <v>349</v>
      </c>
      <c r="F49" s="3">
        <v>347</v>
      </c>
      <c r="G49" s="3">
        <v>389</v>
      </c>
      <c r="H49" s="3">
        <v>402</v>
      </c>
      <c r="I49" s="3">
        <v>539</v>
      </c>
      <c r="J49" s="3">
        <v>398</v>
      </c>
      <c r="K49" s="3">
        <v>652</v>
      </c>
    </row>
    <row r="50" spans="1:11" x14ac:dyDescent="0.2">
      <c r="A50" s="3" t="s">
        <v>31</v>
      </c>
      <c r="B50" s="3">
        <v>771</v>
      </c>
      <c r="C50" s="3">
        <v>715</v>
      </c>
      <c r="D50" s="3">
        <v>704</v>
      </c>
      <c r="E50" s="3">
        <v>1047</v>
      </c>
      <c r="F50" s="3">
        <v>871</v>
      </c>
      <c r="G50" s="3">
        <v>1091</v>
      </c>
      <c r="H50" s="3">
        <v>1120</v>
      </c>
      <c r="I50" s="3">
        <v>1684</v>
      </c>
      <c r="J50" s="3">
        <v>1179</v>
      </c>
      <c r="K50" s="3">
        <v>1777</v>
      </c>
    </row>
    <row r="51" spans="1:11" x14ac:dyDescent="0.2">
      <c r="A51" s="3" t="s">
        <v>37</v>
      </c>
      <c r="B51" s="3">
        <v>1191</v>
      </c>
      <c r="C51" s="3">
        <v>1247</v>
      </c>
      <c r="D51" s="3">
        <v>1236</v>
      </c>
      <c r="E51" s="3">
        <v>1674</v>
      </c>
      <c r="F51" s="3">
        <v>1537</v>
      </c>
      <c r="G51" s="3">
        <v>1830</v>
      </c>
      <c r="H51" s="3">
        <v>1875</v>
      </c>
      <c r="I51" s="3">
        <v>2713</v>
      </c>
      <c r="J51" s="3">
        <v>1938</v>
      </c>
      <c r="K51" s="3">
        <v>2890</v>
      </c>
    </row>
    <row r="52" spans="1:11" x14ac:dyDescent="0.2">
      <c r="A52" s="3" t="s">
        <v>34</v>
      </c>
      <c r="B52" s="14">
        <v>1238.68</v>
      </c>
      <c r="C52" s="14">
        <v>6765.23</v>
      </c>
      <c r="D52" s="14">
        <v>12106.31</v>
      </c>
      <c r="E52" s="3">
        <v>624.13</v>
      </c>
      <c r="F52" s="14">
        <v>5696.47</v>
      </c>
      <c r="G52" s="14">
        <v>5014.1099999999997</v>
      </c>
      <c r="H52" s="14">
        <v>7688.78</v>
      </c>
      <c r="I52" s="14">
        <v>8538.01</v>
      </c>
      <c r="J52" s="14">
        <v>4774.12</v>
      </c>
      <c r="K52" s="14">
        <v>6982.91</v>
      </c>
    </row>
    <row r="56" spans="1:11" x14ac:dyDescent="0.2">
      <c r="A56" s="1" t="s">
        <v>38</v>
      </c>
    </row>
    <row r="57" spans="1:11" x14ac:dyDescent="0.2">
      <c r="A57" s="1" t="s">
        <v>1</v>
      </c>
      <c r="B57" s="5">
        <v>42825</v>
      </c>
      <c r="C57" s="5">
        <v>43190</v>
      </c>
      <c r="D57" s="5">
        <v>43555</v>
      </c>
      <c r="E57" s="5">
        <v>43921</v>
      </c>
      <c r="F57" s="5">
        <v>44286</v>
      </c>
      <c r="G57" s="5">
        <v>44651</v>
      </c>
      <c r="H57" s="5">
        <v>45016</v>
      </c>
      <c r="I57" s="5">
        <v>45382</v>
      </c>
      <c r="J57" s="5">
        <v>45747</v>
      </c>
      <c r="K57" s="5">
        <v>46112</v>
      </c>
    </row>
    <row r="58" spans="1:11" x14ac:dyDescent="0.2">
      <c r="A58" s="3" t="s">
        <v>39</v>
      </c>
      <c r="B58" s="3">
        <v>88.78</v>
      </c>
      <c r="C58" s="3">
        <v>88.78</v>
      </c>
      <c r="D58" s="3">
        <v>88.78</v>
      </c>
      <c r="E58" s="3">
        <v>89</v>
      </c>
      <c r="F58" s="3">
        <v>89</v>
      </c>
      <c r="G58" s="3">
        <v>89</v>
      </c>
      <c r="H58" s="3">
        <v>89</v>
      </c>
      <c r="I58" s="3">
        <v>89</v>
      </c>
      <c r="J58" s="3">
        <v>89</v>
      </c>
      <c r="K58" s="3">
        <v>89</v>
      </c>
    </row>
    <row r="59" spans="1:11" x14ac:dyDescent="0.2">
      <c r="A59" s="3" t="s">
        <v>40</v>
      </c>
      <c r="B59" s="3">
        <v>4143.6000000000004</v>
      </c>
      <c r="C59" s="3">
        <v>5001.1000000000004</v>
      </c>
      <c r="D59" s="3">
        <v>5981.37</v>
      </c>
      <c r="E59" s="3">
        <v>6580</v>
      </c>
      <c r="F59" s="3">
        <v>7408</v>
      </c>
      <c r="G59" s="3">
        <v>9214</v>
      </c>
      <c r="H59" s="3">
        <v>11762</v>
      </c>
      <c r="I59" s="3">
        <v>9304</v>
      </c>
      <c r="J59" s="3">
        <v>11535</v>
      </c>
      <c r="K59" s="3">
        <v>15614</v>
      </c>
    </row>
    <row r="60" spans="1:11" x14ac:dyDescent="0.2">
      <c r="A60" s="3" t="s">
        <v>41</v>
      </c>
      <c r="B60">
        <v>1882.43</v>
      </c>
      <c r="C60">
        <v>1691.01</v>
      </c>
      <c r="D60">
        <v>2392.98</v>
      </c>
      <c r="E60">
        <v>3562</v>
      </c>
      <c r="F60">
        <v>5638</v>
      </c>
      <c r="G60">
        <v>7275</v>
      </c>
      <c r="H60">
        <v>9367</v>
      </c>
      <c r="I60">
        <v>15528</v>
      </c>
      <c r="J60">
        <v>20777</v>
      </c>
      <c r="K60">
        <v>30621</v>
      </c>
    </row>
    <row r="61" spans="1:11" x14ac:dyDescent="0.2">
      <c r="A61" s="3" t="s">
        <v>42</v>
      </c>
      <c r="B61" s="3">
        <v>2292.7600000000002</v>
      </c>
      <c r="C61" s="3">
        <v>2740.15</v>
      </c>
      <c r="D61" s="3">
        <v>3246.71</v>
      </c>
      <c r="E61" s="3">
        <v>3313</v>
      </c>
      <c r="F61" s="3">
        <v>3309</v>
      </c>
      <c r="G61" s="3">
        <v>4610</v>
      </c>
      <c r="H61" s="3">
        <v>5802</v>
      </c>
      <c r="I61" s="3">
        <v>6626</v>
      </c>
      <c r="J61" s="3">
        <v>8244</v>
      </c>
      <c r="K61" s="3">
        <v>14237</v>
      </c>
    </row>
    <row r="62" spans="1:11" x14ac:dyDescent="0.2">
      <c r="A62" s="3" t="s">
        <v>303</v>
      </c>
      <c r="B62" s="3">
        <v>783</v>
      </c>
      <c r="C62" s="3">
        <v>878</v>
      </c>
      <c r="D62" s="3">
        <v>906</v>
      </c>
      <c r="E62" s="3">
        <v>596</v>
      </c>
      <c r="F62" s="3">
        <v>789</v>
      </c>
      <c r="G62" s="204">
        <v>1294</v>
      </c>
      <c r="H62" s="204">
        <v>1214</v>
      </c>
      <c r="I62" s="204">
        <v>1410</v>
      </c>
      <c r="J62" s="204">
        <v>1963</v>
      </c>
      <c r="K62" s="204">
        <v>2864</v>
      </c>
    </row>
    <row r="63" spans="1:11" x14ac:dyDescent="0.2">
      <c r="A63" s="1" t="s">
        <v>169</v>
      </c>
      <c r="B63" s="3">
        <v>8407.57</v>
      </c>
      <c r="C63" s="3">
        <v>9521.0400000000009</v>
      </c>
      <c r="D63" s="3">
        <v>11709.84</v>
      </c>
      <c r="E63" s="3">
        <v>13544</v>
      </c>
      <c r="F63" s="3">
        <v>16444</v>
      </c>
      <c r="G63" s="3">
        <v>21188</v>
      </c>
      <c r="H63" s="3">
        <v>27020</v>
      </c>
      <c r="I63" s="3">
        <v>31547</v>
      </c>
      <c r="J63" s="3">
        <v>40645</v>
      </c>
      <c r="K63" s="3">
        <v>60561</v>
      </c>
    </row>
    <row r="64" spans="1:11" x14ac:dyDescent="0.2">
      <c r="A64" s="3" t="s">
        <v>44</v>
      </c>
      <c r="B64" s="3">
        <v>1188.72</v>
      </c>
      <c r="C64" s="3">
        <v>1473.81</v>
      </c>
      <c r="D64" s="3">
        <v>1566.63</v>
      </c>
      <c r="E64" s="3">
        <v>2633</v>
      </c>
      <c r="F64" s="3">
        <v>2523</v>
      </c>
      <c r="G64" s="3">
        <v>2544</v>
      </c>
      <c r="H64" s="3">
        <v>2998</v>
      </c>
      <c r="I64" s="3">
        <v>3709</v>
      </c>
      <c r="J64" s="3">
        <v>4062</v>
      </c>
      <c r="K64" s="3">
        <v>6878</v>
      </c>
    </row>
    <row r="65" spans="1:11" x14ac:dyDescent="0.2">
      <c r="A65" s="3" t="s">
        <v>45</v>
      </c>
      <c r="B65" s="3">
        <v>152.07</v>
      </c>
      <c r="C65" s="3">
        <v>43.37</v>
      </c>
      <c r="D65" s="3">
        <v>31.77</v>
      </c>
      <c r="E65" s="3">
        <v>18</v>
      </c>
      <c r="F65" s="3">
        <v>32</v>
      </c>
      <c r="G65" s="3">
        <v>85</v>
      </c>
      <c r="H65" s="3">
        <v>144</v>
      </c>
      <c r="I65" s="3">
        <v>97</v>
      </c>
      <c r="J65" s="3">
        <v>105</v>
      </c>
      <c r="K65" s="3">
        <v>163</v>
      </c>
    </row>
    <row r="66" spans="1:11" x14ac:dyDescent="0.2">
      <c r="A66" s="3" t="s">
        <v>46</v>
      </c>
      <c r="B66" s="3">
        <v>430.73</v>
      </c>
      <c r="C66">
        <v>35.99</v>
      </c>
      <c r="D66" s="3">
        <v>108.42</v>
      </c>
      <c r="E66" s="3">
        <v>158</v>
      </c>
      <c r="F66" s="3">
        <v>2824</v>
      </c>
      <c r="G66" s="3">
        <v>294</v>
      </c>
      <c r="H66" s="3">
        <v>2515</v>
      </c>
      <c r="I66" s="3">
        <v>2345</v>
      </c>
      <c r="J66" s="3">
        <v>1988</v>
      </c>
      <c r="K66" s="3">
        <v>3506</v>
      </c>
    </row>
    <row r="67" spans="1:11" x14ac:dyDescent="0.2">
      <c r="A67" s="3" t="s">
        <v>47</v>
      </c>
      <c r="B67" s="3">
        <v>6636.05</v>
      </c>
      <c r="C67" s="3">
        <v>7967.87</v>
      </c>
      <c r="D67" s="3">
        <v>10003.02</v>
      </c>
      <c r="E67" s="3">
        <v>10735</v>
      </c>
      <c r="F67" s="3">
        <v>11065</v>
      </c>
      <c r="G67" s="3">
        <v>18265</v>
      </c>
      <c r="H67" s="3">
        <v>21363</v>
      </c>
      <c r="I67" s="3">
        <v>25396</v>
      </c>
      <c r="J67" s="3">
        <v>34490</v>
      </c>
      <c r="K67" s="3">
        <v>50014</v>
      </c>
    </row>
    <row r="68" spans="1:11" x14ac:dyDescent="0.2">
      <c r="A68" s="1" t="s">
        <v>43</v>
      </c>
      <c r="B68" s="3">
        <v>8407.57</v>
      </c>
      <c r="C68" s="3">
        <v>9521.0400000000009</v>
      </c>
      <c r="D68" s="3">
        <v>11709.84</v>
      </c>
      <c r="E68" s="3">
        <v>13544</v>
      </c>
      <c r="F68" s="3">
        <v>16444</v>
      </c>
      <c r="G68" s="3">
        <v>21188</v>
      </c>
      <c r="H68" s="3">
        <v>27020</v>
      </c>
      <c r="I68" s="3">
        <v>31547</v>
      </c>
      <c r="J68" s="3">
        <v>40645</v>
      </c>
      <c r="K68" s="3">
        <v>60561</v>
      </c>
    </row>
    <row r="69" spans="1:11" x14ac:dyDescent="0.2">
      <c r="A69" s="3" t="s">
        <v>48</v>
      </c>
      <c r="B69" s="3">
        <v>207.6</v>
      </c>
      <c r="C69" s="3">
        <v>295.69</v>
      </c>
      <c r="D69" s="3">
        <v>420.45</v>
      </c>
      <c r="E69" s="3">
        <v>312</v>
      </c>
      <c r="F69" s="3">
        <v>366</v>
      </c>
      <c r="G69" s="3">
        <v>565</v>
      </c>
      <c r="H69" s="3">
        <v>674</v>
      </c>
      <c r="I69" s="3">
        <v>1018</v>
      </c>
      <c r="J69" s="3">
        <v>1068</v>
      </c>
      <c r="K69" s="3">
        <v>916</v>
      </c>
    </row>
    <row r="70" spans="1:11" x14ac:dyDescent="0.2">
      <c r="A70" s="3" t="s">
        <v>49</v>
      </c>
      <c r="B70">
        <v>4925.74</v>
      </c>
      <c r="C70">
        <v>5924.84</v>
      </c>
      <c r="D70">
        <v>7038.82</v>
      </c>
      <c r="E70">
        <v>8103</v>
      </c>
      <c r="F70">
        <v>8408</v>
      </c>
      <c r="G70">
        <v>13609</v>
      </c>
      <c r="H70">
        <v>16584</v>
      </c>
      <c r="I70">
        <v>19051</v>
      </c>
      <c r="J70">
        <v>28184</v>
      </c>
      <c r="K70">
        <v>42743</v>
      </c>
    </row>
    <row r="71" spans="1:11" x14ac:dyDescent="0.2">
      <c r="A71" s="3" t="s">
        <v>50</v>
      </c>
      <c r="B71" s="3">
        <v>778.93</v>
      </c>
      <c r="C71" s="3">
        <v>617.91</v>
      </c>
      <c r="D71" s="3">
        <v>1066.48</v>
      </c>
      <c r="E71" s="3">
        <v>381</v>
      </c>
      <c r="F71" s="3">
        <v>560</v>
      </c>
      <c r="G71" s="3">
        <v>1573</v>
      </c>
      <c r="H71" s="3">
        <v>1343</v>
      </c>
      <c r="I71" s="3">
        <v>1526</v>
      </c>
      <c r="J71" s="3">
        <v>1584</v>
      </c>
      <c r="K71" s="3">
        <v>1917</v>
      </c>
    </row>
    <row r="72" spans="1:11" x14ac:dyDescent="0.2">
      <c r="A72" s="3" t="s">
        <v>51</v>
      </c>
      <c r="B72" s="3">
        <v>887786160</v>
      </c>
      <c r="C72" s="3">
        <v>887786160</v>
      </c>
      <c r="D72" s="3">
        <v>887786160</v>
      </c>
      <c r="E72" s="3">
        <v>887786160</v>
      </c>
      <c r="F72" s="3">
        <v>887786160</v>
      </c>
      <c r="G72" s="3">
        <v>887786160</v>
      </c>
      <c r="H72" s="3">
        <v>890000000</v>
      </c>
      <c r="I72" s="3">
        <v>890000000</v>
      </c>
      <c r="J72" s="3">
        <v>890000000</v>
      </c>
      <c r="K72" s="3">
        <v>890000000</v>
      </c>
    </row>
    <row r="73" spans="1:11" x14ac:dyDescent="0.2">
      <c r="A73" s="3" t="s">
        <v>52</v>
      </c>
    </row>
    <row r="74" spans="1:11" x14ac:dyDescent="0.2">
      <c r="A74" s="3" t="s">
        <v>53</v>
      </c>
      <c r="B74" s="3">
        <v>1</v>
      </c>
      <c r="C74" s="3">
        <v>1</v>
      </c>
      <c r="D74" s="3">
        <v>1</v>
      </c>
      <c r="E74" s="3">
        <v>1</v>
      </c>
      <c r="F74" s="3">
        <v>1</v>
      </c>
      <c r="G74" s="3">
        <v>1</v>
      </c>
      <c r="H74" s="3">
        <v>1</v>
      </c>
      <c r="I74" s="3">
        <v>1</v>
      </c>
      <c r="J74" s="3">
        <v>1</v>
      </c>
      <c r="K74" s="3">
        <v>1</v>
      </c>
    </row>
    <row r="75" spans="1:11" x14ac:dyDescent="0.2">
      <c r="H75" s="3" t="s">
        <v>54</v>
      </c>
      <c r="I75" s="3" t="s">
        <v>55</v>
      </c>
      <c r="J75" s="3" t="s">
        <v>56</v>
      </c>
      <c r="K75" s="3" t="s">
        <v>57</v>
      </c>
    </row>
    <row r="76" spans="1:11" x14ac:dyDescent="0.2">
      <c r="A76" s="3" t="s">
        <v>96</v>
      </c>
      <c r="B76" s="46">
        <f>SUM(B68:B71)</f>
        <v>14319.84</v>
      </c>
      <c r="C76" s="46">
        <f t="shared" ref="C76:K76" si="0">SUM(C68:C71)</f>
        <v>16359.480000000001</v>
      </c>
      <c r="D76" s="46">
        <f t="shared" si="0"/>
        <v>20235.59</v>
      </c>
      <c r="E76" s="46">
        <f t="shared" si="0"/>
        <v>22340</v>
      </c>
      <c r="F76" s="46">
        <f t="shared" si="0"/>
        <v>25778</v>
      </c>
      <c r="G76" s="46">
        <f t="shared" si="0"/>
        <v>36935</v>
      </c>
      <c r="H76" s="46">
        <f t="shared" si="0"/>
        <v>45621</v>
      </c>
      <c r="I76" s="46">
        <f t="shared" si="0"/>
        <v>53142</v>
      </c>
      <c r="J76" s="46">
        <f t="shared" si="0"/>
        <v>71481</v>
      </c>
      <c r="K76" s="46">
        <f t="shared" si="0"/>
        <v>106137</v>
      </c>
    </row>
    <row r="82" spans="1:11" x14ac:dyDescent="0.2">
      <c r="A82" s="1" t="s">
        <v>58</v>
      </c>
    </row>
    <row r="83" spans="1:11" x14ac:dyDescent="0.2">
      <c r="A83" s="1" t="s">
        <v>1</v>
      </c>
      <c r="B83" s="5">
        <v>42825</v>
      </c>
      <c r="C83" s="5">
        <v>43190</v>
      </c>
      <c r="D83" s="5">
        <v>43555</v>
      </c>
      <c r="E83" s="5">
        <v>43921</v>
      </c>
      <c r="F83" s="5">
        <v>44286</v>
      </c>
      <c r="G83" s="5">
        <v>44651</v>
      </c>
      <c r="H83" s="5">
        <v>45016</v>
      </c>
      <c r="I83" s="5">
        <v>45382</v>
      </c>
      <c r="J83" s="5">
        <v>45747</v>
      </c>
      <c r="K83" s="5">
        <v>46112</v>
      </c>
    </row>
    <row r="84" spans="1:11" x14ac:dyDescent="0.2">
      <c r="A84" s="3" t="s">
        <v>59</v>
      </c>
      <c r="B84" s="3">
        <v>1712.3</v>
      </c>
      <c r="C84" s="3">
        <v>-51.12</v>
      </c>
      <c r="D84" s="3">
        <v>1242.92</v>
      </c>
      <c r="E84" s="3">
        <v>-348</v>
      </c>
      <c r="F84" s="3">
        <v>4139</v>
      </c>
      <c r="G84" s="3">
        <v>-724</v>
      </c>
      <c r="H84" s="3">
        <v>1370</v>
      </c>
      <c r="I84" s="3">
        <v>1695</v>
      </c>
      <c r="J84" s="3">
        <v>-541</v>
      </c>
      <c r="K84" s="3">
        <v>5590</v>
      </c>
    </row>
    <row r="85" spans="1:11" x14ac:dyDescent="0.2">
      <c r="A85" s="3" t="s">
        <v>60</v>
      </c>
      <c r="B85" s="3">
        <v>-953.15</v>
      </c>
      <c r="C85" s="3">
        <v>97.62</v>
      </c>
      <c r="D85" s="3">
        <v>-796.61</v>
      </c>
      <c r="E85" s="3">
        <v>235</v>
      </c>
      <c r="F85" s="3">
        <v>-2799</v>
      </c>
      <c r="G85" s="3">
        <v>1165</v>
      </c>
      <c r="H85" s="3">
        <v>-1814</v>
      </c>
      <c r="I85" s="3">
        <v>-189</v>
      </c>
      <c r="J85" s="3">
        <v>546</v>
      </c>
      <c r="K85" s="3">
        <v>-2965</v>
      </c>
    </row>
    <row r="86" spans="1:11" x14ac:dyDescent="0.2">
      <c r="A86" s="3" t="s">
        <v>61</v>
      </c>
      <c r="B86" s="3">
        <v>-165.6</v>
      </c>
      <c r="C86" s="3">
        <v>-252.45</v>
      </c>
      <c r="D86" s="3">
        <v>-488.83</v>
      </c>
      <c r="E86" s="3">
        <v>-242</v>
      </c>
      <c r="F86" s="3">
        <v>-1234</v>
      </c>
      <c r="G86" s="3">
        <v>-403</v>
      </c>
      <c r="H86" s="3">
        <v>457</v>
      </c>
      <c r="I86" s="3">
        <v>-1329</v>
      </c>
      <c r="J86" s="3">
        <v>-7</v>
      </c>
      <c r="K86" s="3">
        <v>-2159</v>
      </c>
    </row>
    <row r="87" spans="1:11" x14ac:dyDescent="0.2">
      <c r="A87" s="3" t="s">
        <v>62</v>
      </c>
      <c r="B87" s="3">
        <v>593.54999999999995</v>
      </c>
      <c r="C87" s="3">
        <v>-205.95</v>
      </c>
      <c r="D87" s="3">
        <v>-42.52</v>
      </c>
      <c r="E87" s="3">
        <v>-355</v>
      </c>
      <c r="F87" s="3">
        <v>106</v>
      </c>
      <c r="G87" s="3">
        <v>38</v>
      </c>
      <c r="H87" s="3">
        <v>13</v>
      </c>
      <c r="I87" s="3">
        <v>177</v>
      </c>
      <c r="J87" s="3">
        <v>-2</v>
      </c>
      <c r="K87" s="3">
        <v>466</v>
      </c>
    </row>
    <row r="92" spans="1:11" x14ac:dyDescent="0.2">
      <c r="A92" s="1" t="s">
        <v>63</v>
      </c>
      <c r="B92" s="3">
        <v>462.75</v>
      </c>
      <c r="C92" s="3">
        <v>942.3</v>
      </c>
      <c r="D92" s="3">
        <v>1141.8499999999999</v>
      </c>
      <c r="E92" s="3">
        <v>933.7</v>
      </c>
      <c r="F92" s="3">
        <v>1558.05</v>
      </c>
      <c r="G92" s="3">
        <v>2536.15</v>
      </c>
      <c r="H92" s="3">
        <v>2514.9</v>
      </c>
      <c r="I92" s="3">
        <v>3801.8</v>
      </c>
      <c r="J92" s="3">
        <v>3063.35</v>
      </c>
      <c r="K92" s="3">
        <v>3951.4</v>
      </c>
    </row>
    <row r="93" spans="1:11" x14ac:dyDescent="0.2">
      <c r="B93" s="192"/>
      <c r="C93" s="192"/>
      <c r="D93" s="192"/>
      <c r="E93" s="192"/>
      <c r="F93" s="192"/>
      <c r="G93" s="192"/>
      <c r="H93" s="192"/>
      <c r="I93" s="192"/>
      <c r="J93" s="192"/>
      <c r="K93" s="192"/>
    </row>
    <row r="94" spans="1:11" x14ac:dyDescent="0.2">
      <c r="B94" s="192"/>
      <c r="C94" s="192"/>
      <c r="D94" s="192"/>
      <c r="E94" s="192"/>
      <c r="F94" s="192"/>
      <c r="G94" s="192"/>
      <c r="H94" s="192"/>
      <c r="I94" s="192"/>
      <c r="J94" s="192"/>
      <c r="K94" s="192"/>
    </row>
    <row r="95" spans="1:11" x14ac:dyDescent="0.2">
      <c r="A95" s="1" t="s">
        <v>64</v>
      </c>
    </row>
    <row r="96" spans="1:11" x14ac:dyDescent="0.2">
      <c r="A96" s="3" t="s">
        <v>65</v>
      </c>
      <c r="B96" s="3">
        <v>88.78</v>
      </c>
      <c r="C96" s="3">
        <v>88.78</v>
      </c>
      <c r="D96" s="3">
        <v>88.78</v>
      </c>
      <c r="E96" s="3">
        <v>88.78</v>
      </c>
      <c r="F96" s="3">
        <v>88.78</v>
      </c>
      <c r="G96" s="3">
        <v>88.78</v>
      </c>
      <c r="H96" s="3">
        <v>88.78</v>
      </c>
      <c r="I96" s="3">
        <v>88.78</v>
      </c>
      <c r="J96" s="3">
        <v>88.78</v>
      </c>
      <c r="K96" s="3">
        <v>88.78</v>
      </c>
    </row>
    <row r="98" spans="1:11" x14ac:dyDescent="0.2">
      <c r="A98" t="s">
        <v>1285</v>
      </c>
      <c r="B98">
        <f>B92*B96</f>
        <v>41082.945</v>
      </c>
      <c r="C98">
        <f t="shared" ref="C98:K98" si="1">C92*C96</f>
        <v>83657.394</v>
      </c>
      <c r="D98">
        <f t="shared" si="1"/>
        <v>101373.443</v>
      </c>
      <c r="E98">
        <f t="shared" si="1"/>
        <v>82893.885999999999</v>
      </c>
      <c r="F98">
        <f t="shared" si="1"/>
        <v>138323.679</v>
      </c>
      <c r="G98">
        <f t="shared" si="1"/>
        <v>225159.397</v>
      </c>
      <c r="H98">
        <f t="shared" si="1"/>
        <v>223272.82200000001</v>
      </c>
      <c r="I98">
        <f t="shared" si="1"/>
        <v>337523.804</v>
      </c>
      <c r="J98">
        <f t="shared" si="1"/>
        <v>271964.21299999999</v>
      </c>
      <c r="K98">
        <f t="shared" si="1"/>
        <v>350805.29200000002</v>
      </c>
    </row>
    <row r="99" spans="1:11" x14ac:dyDescent="0.2">
      <c r="A99" t="s">
        <v>1286</v>
      </c>
      <c r="B99">
        <f>B98+B60-B71</f>
        <v>42186.445</v>
      </c>
      <c r="C99">
        <f t="shared" ref="C99:K99" si="2">C98+C60-C71</f>
        <v>84730.493999999992</v>
      </c>
      <c r="D99">
        <f t="shared" si="2"/>
        <v>102699.943</v>
      </c>
      <c r="E99">
        <f t="shared" si="2"/>
        <v>86074.885999999999</v>
      </c>
      <c r="F99">
        <f t="shared" si="2"/>
        <v>143401.679</v>
      </c>
      <c r="G99">
        <f t="shared" si="2"/>
        <v>230861.397</v>
      </c>
      <c r="H99">
        <f t="shared" si="2"/>
        <v>231296.82200000001</v>
      </c>
      <c r="I99">
        <f t="shared" si="2"/>
        <v>351525.804</v>
      </c>
      <c r="J99">
        <f t="shared" si="2"/>
        <v>291157.21299999999</v>
      </c>
      <c r="K99">
        <f t="shared" si="2"/>
        <v>379509.29200000002</v>
      </c>
    </row>
    <row r="100" spans="1:11" x14ac:dyDescent="0.2">
      <c r="A100" t="s">
        <v>1287</v>
      </c>
      <c r="B100">
        <f>B58+B59</f>
        <v>4232.38</v>
      </c>
      <c r="C100">
        <f t="shared" ref="C100:K100" si="3">C58+C59</f>
        <v>5089.88</v>
      </c>
      <c r="D100">
        <f t="shared" si="3"/>
        <v>6070.15</v>
      </c>
      <c r="E100">
        <f t="shared" si="3"/>
        <v>6669</v>
      </c>
      <c r="F100">
        <f t="shared" si="3"/>
        <v>7497</v>
      </c>
      <c r="G100">
        <f t="shared" si="3"/>
        <v>9303</v>
      </c>
      <c r="H100">
        <f t="shared" si="3"/>
        <v>11851</v>
      </c>
      <c r="I100">
        <f t="shared" si="3"/>
        <v>9393</v>
      </c>
      <c r="J100">
        <f t="shared" si="3"/>
        <v>11624</v>
      </c>
      <c r="K100">
        <f t="shared" si="3"/>
        <v>15703</v>
      </c>
    </row>
  </sheetData>
  <sheetProtection sheet="1" objects="1" scenarios="1"/>
  <pageMargins left="0.7" right="0.7" top="0.75" bottom="0.75" header="0.3" footer="0.3"/>
  <pageSetup paperSize="9" orientation="portrait" horizontalDpi="0" verticalDpi="0"/>
  <ignoredErrors>
    <ignoredError sqref="B76:K76" formulaRange="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64061-F401-5245-9DA0-22CBD761F0EE}">
  <dimension ref="A1:AB37"/>
  <sheetViews>
    <sheetView showGridLines="0" zoomScale="125" workbookViewId="0"/>
  </sheetViews>
  <sheetFormatPr baseColWidth="10" defaultRowHeight="15" x14ac:dyDescent="0.2"/>
  <cols>
    <col min="1" max="1" width="16" bestFit="1" customWidth="1"/>
    <col min="2" max="2" width="23.83203125" bestFit="1" customWidth="1"/>
    <col min="3" max="14" width="7.1640625" bestFit="1" customWidth="1"/>
    <col min="16" max="16" width="24.33203125" bestFit="1" customWidth="1"/>
  </cols>
  <sheetData>
    <row r="1" spans="1:28" x14ac:dyDescent="0.2">
      <c r="A1" t="s">
        <v>1332</v>
      </c>
      <c r="B1" s="23" t="s">
        <v>312</v>
      </c>
    </row>
    <row r="2" spans="1:28" x14ac:dyDescent="0.2">
      <c r="B2" s="21"/>
      <c r="C2" s="21">
        <v>42064</v>
      </c>
      <c r="D2" s="21">
        <v>42430</v>
      </c>
      <c r="E2" s="21">
        <v>42795</v>
      </c>
      <c r="F2" s="21">
        <v>43160</v>
      </c>
      <c r="G2" s="21">
        <v>43525</v>
      </c>
      <c r="H2" s="21">
        <v>43891</v>
      </c>
      <c r="I2" s="21">
        <v>44256</v>
      </c>
      <c r="J2" s="21">
        <v>44621</v>
      </c>
      <c r="K2" s="21">
        <v>44986</v>
      </c>
      <c r="L2" s="21">
        <v>45352</v>
      </c>
      <c r="M2" s="21">
        <v>45717</v>
      </c>
      <c r="N2" s="21">
        <v>46082</v>
      </c>
      <c r="P2" s="21"/>
      <c r="Q2" s="21"/>
      <c r="R2" s="21"/>
      <c r="S2" s="21"/>
      <c r="T2" s="21"/>
      <c r="U2" s="21"/>
      <c r="V2" s="21"/>
      <c r="W2" s="21"/>
      <c r="X2" s="21"/>
      <c r="Y2" s="21"/>
      <c r="Z2" s="21"/>
      <c r="AA2" s="21"/>
      <c r="AB2" s="21"/>
    </row>
    <row r="3" spans="1:28" x14ac:dyDescent="0.2">
      <c r="B3" t="s">
        <v>316</v>
      </c>
      <c r="C3">
        <v>503</v>
      </c>
      <c r="D3">
        <v>576</v>
      </c>
      <c r="E3" s="22">
        <v>1712</v>
      </c>
      <c r="F3">
        <v>-51</v>
      </c>
      <c r="G3" s="22">
        <v>1243</v>
      </c>
      <c r="H3">
        <v>-348</v>
      </c>
      <c r="I3" s="22">
        <v>4139</v>
      </c>
      <c r="J3">
        <v>-724</v>
      </c>
      <c r="K3" s="22">
        <v>1370</v>
      </c>
      <c r="L3" s="22">
        <v>1695</v>
      </c>
      <c r="M3">
        <v>-541</v>
      </c>
      <c r="N3" s="22">
        <v>5590</v>
      </c>
      <c r="S3" s="22"/>
      <c r="U3" s="22"/>
      <c r="W3" s="22"/>
      <c r="Y3" s="22"/>
      <c r="Z3" s="22"/>
      <c r="AB3" s="22"/>
    </row>
    <row r="4" spans="1:28" x14ac:dyDescent="0.2">
      <c r="B4" t="s">
        <v>98</v>
      </c>
      <c r="C4" s="22">
        <v>1163</v>
      </c>
      <c r="D4">
        <v>942</v>
      </c>
      <c r="E4" s="22">
        <v>1073</v>
      </c>
      <c r="F4" s="22">
        <v>1642</v>
      </c>
      <c r="G4" s="22">
        <v>2183</v>
      </c>
      <c r="H4" s="22">
        <v>2481</v>
      </c>
      <c r="I4" s="22">
        <v>1789</v>
      </c>
      <c r="J4" s="22">
        <v>3298</v>
      </c>
      <c r="K4" s="22">
        <v>4937</v>
      </c>
      <c r="L4" s="22">
        <v>5404</v>
      </c>
      <c r="M4" s="22">
        <v>5774</v>
      </c>
      <c r="N4" s="22">
        <v>8447</v>
      </c>
      <c r="Q4" s="22"/>
      <c r="S4" s="22"/>
      <c r="T4" s="22"/>
      <c r="U4" s="22"/>
      <c r="V4" s="22"/>
      <c r="W4" s="22"/>
      <c r="X4" s="22"/>
      <c r="Y4" s="22"/>
      <c r="Z4" s="22"/>
      <c r="AA4" s="22"/>
      <c r="AB4" s="22"/>
    </row>
    <row r="5" spans="1:28" x14ac:dyDescent="0.2">
      <c r="B5" t="s">
        <v>99</v>
      </c>
      <c r="C5">
        <v>-39</v>
      </c>
      <c r="D5">
        <v>0</v>
      </c>
      <c r="E5">
        <v>-12</v>
      </c>
      <c r="F5">
        <v>-90</v>
      </c>
      <c r="G5">
        <v>-139</v>
      </c>
      <c r="H5">
        <v>109</v>
      </c>
      <c r="I5">
        <v>-59</v>
      </c>
      <c r="J5">
        <v>-207</v>
      </c>
      <c r="K5">
        <v>-112</v>
      </c>
      <c r="L5">
        <v>-348</v>
      </c>
      <c r="M5">
        <v>-95</v>
      </c>
      <c r="N5">
        <v>210</v>
      </c>
    </row>
    <row r="6" spans="1:28" x14ac:dyDescent="0.2">
      <c r="B6" t="s">
        <v>100</v>
      </c>
      <c r="C6">
        <v>-180</v>
      </c>
      <c r="D6">
        <v>-398</v>
      </c>
      <c r="E6">
        <v>-448</v>
      </c>
      <c r="F6">
        <v>-996</v>
      </c>
      <c r="G6" s="22">
        <v>-1120</v>
      </c>
      <c r="H6" s="22">
        <v>-1057</v>
      </c>
      <c r="I6">
        <v>-316</v>
      </c>
      <c r="J6" s="22">
        <v>-5199</v>
      </c>
      <c r="K6" s="22">
        <v>-2977</v>
      </c>
      <c r="L6" s="22">
        <v>-2462</v>
      </c>
      <c r="M6" s="22">
        <v>-9072</v>
      </c>
      <c r="N6" s="22">
        <v>-11592</v>
      </c>
      <c r="U6" s="22"/>
      <c r="V6" s="22"/>
      <c r="X6" s="22"/>
      <c r="Y6" s="22"/>
      <c r="Z6" s="22"/>
      <c r="AA6" s="22"/>
      <c r="AB6" s="22"/>
    </row>
    <row r="7" spans="1:28" x14ac:dyDescent="0.2">
      <c r="B7" t="s">
        <v>101</v>
      </c>
      <c r="C7" s="22">
        <v>1079</v>
      </c>
      <c r="D7">
        <v>-245</v>
      </c>
      <c r="E7">
        <v>238</v>
      </c>
      <c r="F7">
        <v>95</v>
      </c>
      <c r="G7">
        <v>32</v>
      </c>
      <c r="H7">
        <v>-310</v>
      </c>
      <c r="I7">
        <v>195</v>
      </c>
      <c r="J7">
        <v>504</v>
      </c>
      <c r="K7">
        <v>-89</v>
      </c>
      <c r="L7">
        <v>196</v>
      </c>
      <c r="M7">
        <v>564</v>
      </c>
      <c r="N7">
        <v>472</v>
      </c>
      <c r="Q7" s="22"/>
    </row>
    <row r="8" spans="1:28" x14ac:dyDescent="0.2">
      <c r="B8" t="s">
        <v>102</v>
      </c>
      <c r="C8">
        <v>-71</v>
      </c>
      <c r="D8">
        <v>-66</v>
      </c>
      <c r="E8">
        <v>0</v>
      </c>
      <c r="F8">
        <v>3</v>
      </c>
      <c r="G8">
        <v>-24</v>
      </c>
      <c r="H8">
        <v>-20</v>
      </c>
      <c r="I8">
        <v>-8</v>
      </c>
      <c r="J8">
        <v>-3</v>
      </c>
      <c r="K8">
        <v>-18</v>
      </c>
      <c r="L8">
        <v>-21</v>
      </c>
      <c r="M8">
        <v>4</v>
      </c>
      <c r="N8">
        <v>-8</v>
      </c>
    </row>
    <row r="9" spans="1:28" x14ac:dyDescent="0.2">
      <c r="B9" t="s">
        <v>103</v>
      </c>
      <c r="C9" s="22">
        <v>-1204</v>
      </c>
      <c r="D9">
        <v>545</v>
      </c>
      <c r="E9">
        <v>375</v>
      </c>
      <c r="F9">
        <v>22</v>
      </c>
      <c r="G9">
        <v>206</v>
      </c>
      <c r="H9">
        <v>-226</v>
      </c>
      <c r="I9">
        <v>184</v>
      </c>
      <c r="J9">
        <v>497</v>
      </c>
      <c r="K9">
        <v>882</v>
      </c>
      <c r="L9">
        <v>57</v>
      </c>
      <c r="M9">
        <v>905</v>
      </c>
      <c r="N9" s="22">
        <v>2494</v>
      </c>
      <c r="Q9" s="22"/>
      <c r="AB9" s="22"/>
    </row>
    <row r="10" spans="1:28" x14ac:dyDescent="0.2">
      <c r="B10" t="s">
        <v>104</v>
      </c>
      <c r="C10">
        <v>-415</v>
      </c>
      <c r="D10">
        <v>-163</v>
      </c>
      <c r="E10">
        <v>916</v>
      </c>
      <c r="F10" s="22">
        <v>-1237</v>
      </c>
      <c r="G10">
        <v>-304</v>
      </c>
      <c r="H10" s="22">
        <v>-2272</v>
      </c>
      <c r="I10" s="22">
        <v>2621</v>
      </c>
      <c r="J10" s="22">
        <v>-3220</v>
      </c>
      <c r="K10" s="22">
        <v>-2413</v>
      </c>
      <c r="L10" s="22">
        <v>-2536</v>
      </c>
      <c r="M10" s="22">
        <v>-5226</v>
      </c>
      <c r="N10" s="22">
        <v>-1120</v>
      </c>
      <c r="T10" s="22"/>
      <c r="V10" s="22"/>
      <c r="W10" s="22"/>
      <c r="X10" s="22"/>
      <c r="Y10" s="22"/>
      <c r="Z10" s="22"/>
      <c r="AA10" s="22"/>
      <c r="AB10" s="22"/>
    </row>
    <row r="11" spans="1:28" x14ac:dyDescent="0.2">
      <c r="B11" t="s">
        <v>105</v>
      </c>
      <c r="C11">
        <v>-245</v>
      </c>
      <c r="D11">
        <v>-202</v>
      </c>
      <c r="E11">
        <v>-277</v>
      </c>
      <c r="F11">
        <v>-456</v>
      </c>
      <c r="G11">
        <v>-636</v>
      </c>
      <c r="H11">
        <v>-557</v>
      </c>
      <c r="I11">
        <v>-271</v>
      </c>
      <c r="J11">
        <v>-802</v>
      </c>
      <c r="K11" s="22">
        <v>-1154</v>
      </c>
      <c r="L11" s="22">
        <v>-1173</v>
      </c>
      <c r="M11" s="22">
        <v>-1089</v>
      </c>
      <c r="N11" s="22">
        <v>-1737</v>
      </c>
      <c r="Y11" s="22"/>
      <c r="Z11" s="22"/>
      <c r="AA11" s="22"/>
      <c r="AB11" s="22"/>
    </row>
    <row r="12" spans="1:28" x14ac:dyDescent="0.2">
      <c r="B12" t="s">
        <v>317</v>
      </c>
      <c r="C12">
        <v>-118</v>
      </c>
      <c r="D12">
        <v>-159</v>
      </c>
      <c r="E12">
        <v>-953</v>
      </c>
      <c r="F12">
        <v>98</v>
      </c>
      <c r="G12">
        <v>-797</v>
      </c>
      <c r="H12">
        <v>235</v>
      </c>
      <c r="I12" s="22">
        <v>-2799</v>
      </c>
      <c r="J12" s="22">
        <v>1165</v>
      </c>
      <c r="K12" s="22">
        <v>-1814</v>
      </c>
      <c r="L12">
        <v>-189</v>
      </c>
      <c r="M12">
        <v>546</v>
      </c>
      <c r="N12" s="22">
        <v>-2965</v>
      </c>
      <c r="W12" s="22"/>
      <c r="X12" s="22"/>
      <c r="Y12" s="22"/>
      <c r="AB12" s="22"/>
    </row>
    <row r="13" spans="1:28" x14ac:dyDescent="0.2">
      <c r="B13" t="s">
        <v>106</v>
      </c>
      <c r="C13">
        <v>-209</v>
      </c>
      <c r="D13">
        <v>-254</v>
      </c>
      <c r="E13">
        <v>-256</v>
      </c>
      <c r="F13">
        <v>-305</v>
      </c>
      <c r="G13">
        <v>-265</v>
      </c>
      <c r="H13">
        <v>-355</v>
      </c>
      <c r="I13">
        <v>-146</v>
      </c>
      <c r="J13">
        <v>-224</v>
      </c>
      <c r="K13">
        <v>-432</v>
      </c>
      <c r="L13">
        <v>-691</v>
      </c>
      <c r="M13">
        <v>-494</v>
      </c>
      <c r="N13">
        <v>-902</v>
      </c>
    </row>
    <row r="14" spans="1:28" x14ac:dyDescent="0.2">
      <c r="B14" t="s">
        <v>107</v>
      </c>
      <c r="C14">
        <v>2</v>
      </c>
      <c r="D14">
        <v>2</v>
      </c>
      <c r="E14">
        <v>5</v>
      </c>
      <c r="F14">
        <v>6</v>
      </c>
      <c r="G14">
        <v>1</v>
      </c>
      <c r="H14">
        <v>10</v>
      </c>
      <c r="I14">
        <v>7</v>
      </c>
      <c r="J14">
        <v>8</v>
      </c>
      <c r="K14">
        <v>12</v>
      </c>
      <c r="L14">
        <v>20</v>
      </c>
      <c r="M14">
        <v>24</v>
      </c>
      <c r="N14">
        <v>25</v>
      </c>
    </row>
    <row r="15" spans="1:28" x14ac:dyDescent="0.2">
      <c r="B15" t="s">
        <v>108</v>
      </c>
      <c r="C15">
        <v>-135</v>
      </c>
      <c r="D15" s="22">
        <v>-1078</v>
      </c>
      <c r="E15">
        <v>-325</v>
      </c>
      <c r="F15">
        <v>0</v>
      </c>
      <c r="G15">
        <v>-36</v>
      </c>
      <c r="H15">
        <v>-13</v>
      </c>
      <c r="I15" s="22">
        <v>-2656</v>
      </c>
      <c r="J15">
        <v>-253</v>
      </c>
      <c r="K15" s="22">
        <v>-2104</v>
      </c>
      <c r="L15" s="22">
        <v>-21893</v>
      </c>
      <c r="M15" s="22">
        <v>-15342</v>
      </c>
      <c r="N15" s="22">
        <v>-22035</v>
      </c>
      <c r="R15" s="22"/>
      <c r="W15" s="22"/>
      <c r="Y15" s="22"/>
      <c r="Z15" s="22"/>
      <c r="AA15" s="22"/>
      <c r="AB15" s="22"/>
    </row>
    <row r="16" spans="1:28" x14ac:dyDescent="0.2">
      <c r="B16" t="s">
        <v>109</v>
      </c>
      <c r="C16">
        <v>135</v>
      </c>
      <c r="D16" s="22">
        <v>1083</v>
      </c>
      <c r="E16">
        <v>0</v>
      </c>
      <c r="F16">
        <v>412</v>
      </c>
      <c r="G16">
        <v>18</v>
      </c>
      <c r="H16">
        <v>0</v>
      </c>
      <c r="I16">
        <v>43</v>
      </c>
      <c r="J16" s="22">
        <v>2870</v>
      </c>
      <c r="K16">
        <v>0</v>
      </c>
      <c r="L16" s="22">
        <v>22213</v>
      </c>
      <c r="M16" s="22">
        <v>15747</v>
      </c>
      <c r="N16" s="22">
        <v>20797</v>
      </c>
      <c r="R16" s="22"/>
      <c r="X16" s="22"/>
      <c r="Z16" s="22"/>
      <c r="AA16" s="22"/>
      <c r="AB16" s="22"/>
    </row>
    <row r="17" spans="2:28" x14ac:dyDescent="0.2">
      <c r="B17" t="s">
        <v>110</v>
      </c>
      <c r="C17">
        <v>77</v>
      </c>
      <c r="D17">
        <v>58</v>
      </c>
      <c r="E17">
        <v>41</v>
      </c>
      <c r="F17">
        <v>64</v>
      </c>
      <c r="G17">
        <v>85</v>
      </c>
      <c r="H17">
        <v>73</v>
      </c>
      <c r="I17">
        <v>49</v>
      </c>
      <c r="J17">
        <v>56</v>
      </c>
      <c r="K17">
        <v>143</v>
      </c>
      <c r="L17">
        <v>249</v>
      </c>
      <c r="M17">
        <v>288</v>
      </c>
      <c r="N17">
        <v>227</v>
      </c>
    </row>
    <row r="18" spans="2:28" x14ac:dyDescent="0.2">
      <c r="B18" t="s">
        <v>111</v>
      </c>
      <c r="C18">
        <v>0</v>
      </c>
      <c r="D18">
        <v>0</v>
      </c>
      <c r="E18">
        <v>0</v>
      </c>
      <c r="F18">
        <v>0</v>
      </c>
      <c r="G18">
        <v>0</v>
      </c>
      <c r="H18">
        <v>0</v>
      </c>
      <c r="I18">
        <v>0</v>
      </c>
      <c r="J18">
        <v>0</v>
      </c>
      <c r="K18">
        <v>0</v>
      </c>
      <c r="L18">
        <v>0</v>
      </c>
      <c r="M18">
        <v>0</v>
      </c>
      <c r="N18">
        <v>0</v>
      </c>
      <c r="Q18" s="96"/>
      <c r="R18" s="96"/>
      <c r="S18" s="96"/>
      <c r="T18" s="96"/>
      <c r="U18" s="96"/>
      <c r="V18" s="96"/>
      <c r="W18" s="96"/>
      <c r="X18" s="96"/>
      <c r="Y18" s="96"/>
      <c r="Z18" s="96"/>
      <c r="AA18" s="96"/>
      <c r="AB18" s="96"/>
    </row>
    <row r="19" spans="2:28" x14ac:dyDescent="0.2">
      <c r="B19" t="s">
        <v>112</v>
      </c>
      <c r="C19">
        <v>0</v>
      </c>
      <c r="D19">
        <v>0</v>
      </c>
      <c r="E19">
        <v>0</v>
      </c>
      <c r="F19">
        <v>0</v>
      </c>
      <c r="G19">
        <v>0</v>
      </c>
      <c r="H19">
        <v>-39</v>
      </c>
      <c r="I19">
        <v>0</v>
      </c>
      <c r="J19">
        <v>0</v>
      </c>
      <c r="K19">
        <v>0</v>
      </c>
      <c r="L19">
        <v>0</v>
      </c>
      <c r="M19">
        <v>0</v>
      </c>
      <c r="N19">
        <v>0</v>
      </c>
    </row>
    <row r="20" spans="2:28" x14ac:dyDescent="0.2">
      <c r="B20" t="s">
        <v>113</v>
      </c>
      <c r="C20">
        <v>0</v>
      </c>
      <c r="D20">
        <v>-18</v>
      </c>
      <c r="E20">
        <v>0</v>
      </c>
      <c r="F20">
        <v>0</v>
      </c>
      <c r="G20">
        <v>0</v>
      </c>
      <c r="H20">
        <v>0</v>
      </c>
      <c r="I20">
        <v>0</v>
      </c>
      <c r="J20">
        <v>0</v>
      </c>
      <c r="K20">
        <v>0</v>
      </c>
      <c r="L20">
        <v>0</v>
      </c>
      <c r="M20">
        <v>0</v>
      </c>
      <c r="N20">
        <v>0</v>
      </c>
    </row>
    <row r="21" spans="2:28" x14ac:dyDescent="0.2">
      <c r="B21" t="s">
        <v>114</v>
      </c>
      <c r="C21">
        <v>0</v>
      </c>
      <c r="D21">
        <v>0</v>
      </c>
      <c r="E21">
        <v>0</v>
      </c>
      <c r="F21">
        <v>0</v>
      </c>
      <c r="G21">
        <v>0</v>
      </c>
      <c r="H21">
        <v>0</v>
      </c>
      <c r="I21">
        <v>0</v>
      </c>
      <c r="J21">
        <v>0</v>
      </c>
      <c r="K21">
        <v>0</v>
      </c>
      <c r="L21">
        <v>0</v>
      </c>
      <c r="M21">
        <v>0</v>
      </c>
      <c r="N21">
        <v>0</v>
      </c>
      <c r="P21" s="96"/>
      <c r="Q21" s="96"/>
      <c r="R21" s="96"/>
      <c r="S21" s="96"/>
      <c r="T21" s="96"/>
      <c r="U21" s="96"/>
      <c r="V21" s="96"/>
      <c r="W21" s="96"/>
      <c r="X21" s="96"/>
      <c r="Y21" s="96"/>
      <c r="Z21" s="96"/>
      <c r="AA21" s="96"/>
      <c r="AB21" s="96"/>
    </row>
    <row r="22" spans="2:28" x14ac:dyDescent="0.2">
      <c r="B22" t="s">
        <v>115</v>
      </c>
      <c r="C22">
        <v>0</v>
      </c>
      <c r="D22">
        <v>0</v>
      </c>
      <c r="E22">
        <v>-385</v>
      </c>
      <c r="F22">
        <v>0</v>
      </c>
      <c r="G22">
        <v>0</v>
      </c>
      <c r="H22">
        <v>0</v>
      </c>
      <c r="I22">
        <v>0</v>
      </c>
      <c r="J22">
        <v>0</v>
      </c>
      <c r="K22">
        <v>0</v>
      </c>
      <c r="L22">
        <v>0</v>
      </c>
      <c r="M22">
        <v>0</v>
      </c>
      <c r="N22">
        <v>0</v>
      </c>
    </row>
    <row r="23" spans="2:28" x14ac:dyDescent="0.2">
      <c r="B23" t="s">
        <v>116</v>
      </c>
      <c r="C23">
        <v>-48</v>
      </c>
      <c r="D23">
        <v>38</v>
      </c>
      <c r="E23">
        <v>5</v>
      </c>
      <c r="F23">
        <v>-35</v>
      </c>
      <c r="G23">
        <v>-115</v>
      </c>
      <c r="H23">
        <v>200</v>
      </c>
      <c r="I23">
        <v>-50</v>
      </c>
      <c r="J23">
        <v>-344</v>
      </c>
      <c r="K23">
        <v>294</v>
      </c>
      <c r="L23">
        <v>-143</v>
      </c>
      <c r="M23">
        <v>243</v>
      </c>
      <c r="N23">
        <v>0</v>
      </c>
    </row>
    <row r="24" spans="2:28" x14ac:dyDescent="0.2">
      <c r="B24" t="s">
        <v>117</v>
      </c>
      <c r="C24">
        <v>60</v>
      </c>
      <c r="D24">
        <v>10</v>
      </c>
      <c r="E24">
        <v>-38</v>
      </c>
      <c r="F24">
        <v>-43</v>
      </c>
      <c r="G24">
        <v>-485</v>
      </c>
      <c r="H24">
        <v>359</v>
      </c>
      <c r="I24">
        <v>-46</v>
      </c>
      <c r="J24">
        <v>-948</v>
      </c>
      <c r="K24">
        <v>273</v>
      </c>
      <c r="L24">
        <v>56</v>
      </c>
      <c r="M24">
        <v>80</v>
      </c>
      <c r="N24" s="22">
        <v>-1077</v>
      </c>
      <c r="AB24" s="22"/>
    </row>
    <row r="25" spans="2:28" x14ac:dyDescent="0.2">
      <c r="B25" t="s">
        <v>318</v>
      </c>
      <c r="C25" s="22">
        <v>-1005</v>
      </c>
      <c r="D25">
        <v>-505</v>
      </c>
      <c r="E25">
        <v>-166</v>
      </c>
      <c r="F25">
        <v>-252</v>
      </c>
      <c r="G25">
        <v>-489</v>
      </c>
      <c r="H25">
        <v>-242</v>
      </c>
      <c r="I25" s="22">
        <v>-1234</v>
      </c>
      <c r="J25">
        <v>-403</v>
      </c>
      <c r="K25">
        <v>457</v>
      </c>
      <c r="L25" s="22">
        <v>-1329</v>
      </c>
      <c r="M25">
        <v>-7</v>
      </c>
      <c r="N25" s="22">
        <v>-2159</v>
      </c>
      <c r="Q25" s="22"/>
      <c r="W25" s="22"/>
      <c r="Z25" s="22"/>
      <c r="AB25" s="22"/>
    </row>
    <row r="26" spans="2:28" x14ac:dyDescent="0.2">
      <c r="B26" t="s">
        <v>118</v>
      </c>
      <c r="C26" s="22">
        <v>0</v>
      </c>
      <c r="D26" s="22">
        <v>0</v>
      </c>
      <c r="E26" s="22">
        <v>0</v>
      </c>
      <c r="F26" s="22">
        <v>0</v>
      </c>
      <c r="G26" s="22">
        <v>0</v>
      </c>
      <c r="H26" s="22">
        <v>0</v>
      </c>
      <c r="I26" s="22">
        <v>0</v>
      </c>
      <c r="J26" s="22">
        <v>0</v>
      </c>
      <c r="K26" s="22">
        <v>0</v>
      </c>
      <c r="L26" s="22">
        <v>0</v>
      </c>
      <c r="M26" s="22">
        <v>0</v>
      </c>
      <c r="N26" s="22">
        <v>0</v>
      </c>
      <c r="P26" s="96"/>
      <c r="Q26" s="22"/>
      <c r="R26" s="22"/>
      <c r="S26" s="22"/>
      <c r="T26" s="22"/>
      <c r="U26" s="22"/>
      <c r="V26" s="22"/>
      <c r="W26" s="22"/>
      <c r="X26" s="22"/>
      <c r="Y26" s="22"/>
      <c r="Z26" s="22"/>
      <c r="AA26" s="22"/>
      <c r="AB26" s="22"/>
    </row>
    <row r="27" spans="2:28" x14ac:dyDescent="0.2">
      <c r="B27" t="s">
        <v>119</v>
      </c>
      <c r="C27" s="22">
        <v>0</v>
      </c>
      <c r="D27" s="22">
        <v>0</v>
      </c>
      <c r="E27" s="22">
        <v>0</v>
      </c>
      <c r="F27" s="22">
        <v>0</v>
      </c>
      <c r="G27" s="22">
        <v>0</v>
      </c>
      <c r="H27" s="22">
        <v>0</v>
      </c>
      <c r="I27" s="22">
        <v>0</v>
      </c>
      <c r="J27" s="22">
        <v>0</v>
      </c>
      <c r="K27" s="22">
        <v>0</v>
      </c>
      <c r="L27" s="22">
        <v>0</v>
      </c>
      <c r="M27" s="22">
        <v>0</v>
      </c>
      <c r="N27" s="22">
        <v>0</v>
      </c>
      <c r="P27" s="96"/>
      <c r="Q27" s="22"/>
      <c r="R27" s="22"/>
      <c r="S27" s="22"/>
      <c r="T27" s="22"/>
      <c r="U27" s="22"/>
      <c r="V27" s="22"/>
      <c r="W27" s="22"/>
      <c r="X27" s="22"/>
      <c r="Y27" s="22"/>
      <c r="Z27" s="22"/>
      <c r="AA27" s="22"/>
      <c r="AB27" s="22"/>
    </row>
    <row r="28" spans="2:28" x14ac:dyDescent="0.2">
      <c r="B28" t="s">
        <v>120</v>
      </c>
      <c r="C28">
        <v>0</v>
      </c>
      <c r="D28">
        <v>0</v>
      </c>
      <c r="E28">
        <v>0</v>
      </c>
      <c r="F28">
        <v>0</v>
      </c>
      <c r="G28">
        <v>0</v>
      </c>
      <c r="H28">
        <v>693</v>
      </c>
      <c r="I28">
        <v>0</v>
      </c>
      <c r="J28">
        <v>349</v>
      </c>
      <c r="K28" s="22">
        <v>1684</v>
      </c>
      <c r="L28" s="22">
        <v>5629</v>
      </c>
      <c r="M28" s="22">
        <v>2599</v>
      </c>
      <c r="N28" s="22">
        <v>3314</v>
      </c>
      <c r="Y28" s="22"/>
      <c r="Z28" s="22"/>
      <c r="AA28" s="22"/>
      <c r="AB28" s="22"/>
    </row>
    <row r="29" spans="2:28" x14ac:dyDescent="0.2">
      <c r="B29" t="s">
        <v>121</v>
      </c>
      <c r="C29">
        <v>0</v>
      </c>
      <c r="D29">
        <v>0</v>
      </c>
      <c r="E29">
        <v>0</v>
      </c>
      <c r="F29">
        <v>0</v>
      </c>
      <c r="G29">
        <v>-39</v>
      </c>
      <c r="H29">
        <v>0</v>
      </c>
      <c r="I29">
        <v>-562</v>
      </c>
      <c r="J29">
        <v>-7</v>
      </c>
      <c r="K29">
        <v>-7</v>
      </c>
      <c r="L29">
        <v>0</v>
      </c>
      <c r="M29">
        <v>-378</v>
      </c>
      <c r="N29" s="22">
        <v>-2632</v>
      </c>
      <c r="AB29" s="22"/>
    </row>
    <row r="30" spans="2:28" x14ac:dyDescent="0.2">
      <c r="B30" t="s">
        <v>122</v>
      </c>
      <c r="C30">
        <v>0</v>
      </c>
      <c r="D30">
        <v>0</v>
      </c>
      <c r="E30">
        <v>0</v>
      </c>
      <c r="F30">
        <v>0</v>
      </c>
      <c r="G30">
        <v>0</v>
      </c>
      <c r="H30">
        <v>0</v>
      </c>
      <c r="I30">
        <v>0</v>
      </c>
      <c r="J30">
        <v>0</v>
      </c>
      <c r="K30">
        <v>0</v>
      </c>
      <c r="L30">
        <v>0</v>
      </c>
      <c r="M30">
        <v>0</v>
      </c>
      <c r="N30">
        <v>0</v>
      </c>
      <c r="P30" s="96"/>
      <c r="Q30" s="96"/>
      <c r="R30" s="96"/>
      <c r="S30" s="96"/>
      <c r="T30" s="96"/>
      <c r="U30" s="96"/>
      <c r="V30" s="96"/>
      <c r="W30" s="96"/>
      <c r="X30" s="96"/>
      <c r="Y30" s="96"/>
      <c r="Z30" s="96"/>
      <c r="AA30" s="96"/>
      <c r="AB30" s="96"/>
    </row>
    <row r="31" spans="2:28" x14ac:dyDescent="0.2">
      <c r="B31" t="s">
        <v>123</v>
      </c>
      <c r="C31">
        <v>-81</v>
      </c>
      <c r="D31">
        <v>-42</v>
      </c>
      <c r="E31">
        <v>-38</v>
      </c>
      <c r="F31">
        <v>-54</v>
      </c>
      <c r="G31">
        <v>-53</v>
      </c>
      <c r="H31">
        <v>-399</v>
      </c>
      <c r="I31">
        <v>-317</v>
      </c>
      <c r="J31">
        <v>-218</v>
      </c>
      <c r="K31">
        <v>-300</v>
      </c>
      <c r="L31">
        <v>-619</v>
      </c>
      <c r="M31">
        <v>-538</v>
      </c>
      <c r="N31" s="22">
        <v>-1000</v>
      </c>
      <c r="AB31" s="22"/>
    </row>
    <row r="32" spans="2:28" x14ac:dyDescent="0.2">
      <c r="B32" t="s">
        <v>124</v>
      </c>
      <c r="C32">
        <v>-185</v>
      </c>
      <c r="D32">
        <v>-394</v>
      </c>
      <c r="E32">
        <v>-4</v>
      </c>
      <c r="F32">
        <v>-277</v>
      </c>
      <c r="G32">
        <v>-397</v>
      </c>
      <c r="H32">
        <v>-536</v>
      </c>
      <c r="I32">
        <v>-355</v>
      </c>
      <c r="J32">
        <v>-355</v>
      </c>
      <c r="K32">
        <v>-666</v>
      </c>
      <c r="L32">
        <v>-888</v>
      </c>
      <c r="M32">
        <v>-976</v>
      </c>
      <c r="N32">
        <v>-976</v>
      </c>
    </row>
    <row r="33" spans="2:28" x14ac:dyDescent="0.2">
      <c r="B33" t="s">
        <v>125</v>
      </c>
      <c r="C33">
        <v>0</v>
      </c>
      <c r="D33">
        <v>0</v>
      </c>
      <c r="E33">
        <v>0</v>
      </c>
      <c r="F33">
        <v>0</v>
      </c>
      <c r="G33">
        <v>0</v>
      </c>
      <c r="H33">
        <v>0</v>
      </c>
      <c r="I33">
        <v>0</v>
      </c>
      <c r="J33">
        <v>-172</v>
      </c>
      <c r="K33">
        <v>-254</v>
      </c>
      <c r="L33">
        <v>-318</v>
      </c>
      <c r="M33">
        <v>-700</v>
      </c>
      <c r="N33">
        <v>-865</v>
      </c>
    </row>
    <row r="34" spans="2:28" x14ac:dyDescent="0.2">
      <c r="B34" t="s">
        <v>126</v>
      </c>
      <c r="C34">
        <v>-739</v>
      </c>
      <c r="D34">
        <v>-68</v>
      </c>
      <c r="E34">
        <v>-124</v>
      </c>
      <c r="F34">
        <v>79</v>
      </c>
      <c r="G34">
        <v>0</v>
      </c>
      <c r="H34">
        <v>0</v>
      </c>
      <c r="I34">
        <v>0</v>
      </c>
      <c r="J34">
        <v>0</v>
      </c>
      <c r="K34">
        <v>0</v>
      </c>
      <c r="L34" s="22">
        <v>-5133</v>
      </c>
      <c r="M34">
        <v>-14</v>
      </c>
      <c r="N34">
        <v>0</v>
      </c>
      <c r="Z34" s="22"/>
    </row>
    <row r="35" spans="2:28" x14ac:dyDescent="0.2">
      <c r="B35" t="s">
        <v>127</v>
      </c>
      <c r="C35">
        <v>-620</v>
      </c>
      <c r="D35">
        <v>-88</v>
      </c>
      <c r="E35">
        <v>594</v>
      </c>
      <c r="F35">
        <v>-206</v>
      </c>
      <c r="G35">
        <v>-43</v>
      </c>
      <c r="H35">
        <v>-355</v>
      </c>
      <c r="I35">
        <v>106</v>
      </c>
      <c r="J35">
        <v>38</v>
      </c>
      <c r="K35">
        <v>13</v>
      </c>
      <c r="L35">
        <v>177</v>
      </c>
      <c r="M35">
        <v>-2</v>
      </c>
      <c r="N35">
        <v>466</v>
      </c>
    </row>
    <row r="36" spans="2:28" x14ac:dyDescent="0.2">
      <c r="S36" s="22"/>
      <c r="W36" s="22"/>
      <c r="Z36" s="22"/>
      <c r="AA36" s="22"/>
      <c r="AB36" s="22"/>
    </row>
    <row r="37" spans="2:28" x14ac:dyDescent="0.2">
      <c r="Q37" s="104"/>
      <c r="R37" s="104"/>
      <c r="S37" s="104"/>
      <c r="T37" s="104"/>
      <c r="U37" s="104"/>
      <c r="V37" s="104"/>
      <c r="W37" s="104"/>
      <c r="X37" s="104"/>
      <c r="Y37" s="104"/>
      <c r="Z37" s="104"/>
      <c r="AA37" s="104"/>
      <c r="AB37" s="104"/>
    </row>
  </sheetData>
  <sheetProtection sheet="1" objects="1" scenarios="1"/>
  <pageMargins left="0.7" right="0.7" top="0.75" bottom="0.75" header="0.3" footer="0.3"/>
  <pageSetup paperSize="9" orientation="portrait" horizontalDpi="0" verticalDpi="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2029E-9A9D-7E4E-A65C-EFC9B02E7F63}">
  <dimension ref="B1:G34"/>
  <sheetViews>
    <sheetView topLeftCell="A12" zoomScale="141" workbookViewId="0">
      <selection activeCell="G34" sqref="G34"/>
    </sheetView>
  </sheetViews>
  <sheetFormatPr baseColWidth="10" defaultRowHeight="15" x14ac:dyDescent="0.2"/>
  <cols>
    <col min="1" max="1" width="3" customWidth="1"/>
    <col min="2" max="2" width="22.1640625" bestFit="1" customWidth="1"/>
  </cols>
  <sheetData>
    <row r="1" spans="2:7" x14ac:dyDescent="0.2">
      <c r="B1" t="s">
        <v>1336</v>
      </c>
    </row>
    <row r="3" spans="2:7" x14ac:dyDescent="0.2">
      <c r="B3" s="228"/>
    </row>
    <row r="4" spans="2:7" x14ac:dyDescent="0.2">
      <c r="B4" s="229" t="s">
        <v>1333</v>
      </c>
      <c r="C4" s="21">
        <f>'Data Sheet'!G17</f>
        <v>44651</v>
      </c>
      <c r="D4" s="21">
        <f>'Data Sheet'!H17</f>
        <v>45016</v>
      </c>
      <c r="E4" s="21">
        <f>'Data Sheet'!I17</f>
        <v>45382</v>
      </c>
      <c r="F4" s="21">
        <f>'Data Sheet'!J17</f>
        <v>45747</v>
      </c>
      <c r="G4" s="21">
        <f>'Data Sheet'!K17</f>
        <v>46112</v>
      </c>
    </row>
    <row r="5" spans="2:7" x14ac:dyDescent="0.2">
      <c r="B5" s="228" t="s">
        <v>1327</v>
      </c>
      <c r="C5">
        <v>2309</v>
      </c>
      <c r="D5">
        <v>3296</v>
      </c>
      <c r="E5">
        <v>3904</v>
      </c>
      <c r="F5">
        <v>4576</v>
      </c>
      <c r="G5">
        <v>5233</v>
      </c>
    </row>
    <row r="6" spans="2:7" x14ac:dyDescent="0.2">
      <c r="B6" s="228" t="s">
        <v>1328</v>
      </c>
      <c r="C6">
        <v>24313</v>
      </c>
      <c r="D6">
        <v>34105</v>
      </c>
      <c r="E6">
        <v>42292</v>
      </c>
      <c r="F6">
        <v>49227</v>
      </c>
      <c r="G6">
        <v>71108</v>
      </c>
    </row>
    <row r="7" spans="2:7" x14ac:dyDescent="0.2">
      <c r="B7" s="228" t="s">
        <v>1329</v>
      </c>
      <c r="C7">
        <v>517</v>
      </c>
      <c r="D7">
        <v>689</v>
      </c>
      <c r="E7">
        <v>724</v>
      </c>
      <c r="F7">
        <v>796</v>
      </c>
      <c r="G7">
        <v>907</v>
      </c>
    </row>
    <row r="8" spans="2:7" x14ac:dyDescent="0.2">
      <c r="B8" s="228" t="s">
        <v>1330</v>
      </c>
      <c r="C8">
        <v>154</v>
      </c>
      <c r="D8">
        <v>295</v>
      </c>
      <c r="E8">
        <v>378</v>
      </c>
      <c r="F8">
        <v>406</v>
      </c>
      <c r="G8">
        <v>508</v>
      </c>
    </row>
    <row r="9" spans="2:7" x14ac:dyDescent="0.2">
      <c r="B9" s="228" t="s">
        <v>1331</v>
      </c>
      <c r="C9">
        <v>163</v>
      </c>
      <c r="D9">
        <v>184</v>
      </c>
      <c r="E9">
        <v>326</v>
      </c>
      <c r="F9">
        <v>330</v>
      </c>
      <c r="G9">
        <v>333</v>
      </c>
    </row>
    <row r="10" spans="2:7" x14ac:dyDescent="0.2">
      <c r="B10" t="s">
        <v>1334</v>
      </c>
      <c r="C10">
        <v>27456</v>
      </c>
      <c r="D10">
        <v>38569</v>
      </c>
      <c r="E10">
        <v>47624</v>
      </c>
      <c r="F10">
        <v>55335</v>
      </c>
      <c r="G10">
        <v>78089</v>
      </c>
    </row>
    <row r="11" spans="2:7" x14ac:dyDescent="0.2">
      <c r="B11" s="228" t="s">
        <v>1346</v>
      </c>
      <c r="C11">
        <f>C12-C10</f>
        <v>1343</v>
      </c>
      <c r="D11">
        <f t="shared" ref="D11:G11" si="0">D12-D10</f>
        <v>2006</v>
      </c>
      <c r="E11">
        <f t="shared" si="0"/>
        <v>3460</v>
      </c>
      <c r="F11">
        <f t="shared" si="0"/>
        <v>5121</v>
      </c>
      <c r="G11">
        <f t="shared" si="0"/>
        <v>9495</v>
      </c>
    </row>
    <row r="12" spans="2:7" x14ac:dyDescent="0.2">
      <c r="B12" s="228" t="s">
        <v>1335</v>
      </c>
      <c r="C12">
        <f>HistoricalFS!H6</f>
        <v>28799</v>
      </c>
      <c r="D12">
        <f>HistoricalFS!I6</f>
        <v>40575</v>
      </c>
      <c r="E12">
        <f>HistoricalFS!J6</f>
        <v>51084</v>
      </c>
      <c r="F12">
        <f>HistoricalFS!K6</f>
        <v>60456</v>
      </c>
      <c r="G12">
        <f>HistoricalFS!L6</f>
        <v>87584</v>
      </c>
    </row>
    <row r="14" spans="2:7" x14ac:dyDescent="0.2">
      <c r="B14" s="229" t="s">
        <v>1337</v>
      </c>
      <c r="C14" s="21">
        <f>C4</f>
        <v>44651</v>
      </c>
      <c r="D14" s="21">
        <f t="shared" ref="D14:G14" si="1">D4</f>
        <v>45016</v>
      </c>
      <c r="E14" s="21">
        <f t="shared" si="1"/>
        <v>45382</v>
      </c>
      <c r="F14" s="21">
        <f t="shared" si="1"/>
        <v>45747</v>
      </c>
      <c r="G14" s="21">
        <f t="shared" si="1"/>
        <v>46112</v>
      </c>
    </row>
    <row r="15" spans="2:7" x14ac:dyDescent="0.2">
      <c r="B15" t="s">
        <v>1327</v>
      </c>
      <c r="C15">
        <v>108</v>
      </c>
      <c r="D15">
        <v>413</v>
      </c>
      <c r="E15">
        <v>397</v>
      </c>
      <c r="F15">
        <v>553</v>
      </c>
      <c r="G15">
        <v>842</v>
      </c>
    </row>
    <row r="16" spans="2:7" x14ac:dyDescent="0.2">
      <c r="B16" t="s">
        <v>1328</v>
      </c>
      <c r="C16">
        <v>3027</v>
      </c>
      <c r="D16">
        <v>4363</v>
      </c>
      <c r="E16">
        <v>4726</v>
      </c>
      <c r="F16">
        <v>4764</v>
      </c>
      <c r="G16">
        <v>6601</v>
      </c>
    </row>
    <row r="17" spans="2:7" x14ac:dyDescent="0.2">
      <c r="B17" t="s">
        <v>1329</v>
      </c>
      <c r="C17">
        <v>50</v>
      </c>
      <c r="D17">
        <v>98</v>
      </c>
      <c r="E17">
        <v>85</v>
      </c>
      <c r="F17">
        <v>85</v>
      </c>
      <c r="G17">
        <v>84</v>
      </c>
    </row>
    <row r="18" spans="2:7" x14ac:dyDescent="0.2">
      <c r="B18" t="s">
        <v>1330</v>
      </c>
      <c r="C18">
        <v>-36</v>
      </c>
      <c r="D18">
        <v>-78</v>
      </c>
      <c r="E18">
        <v>-93</v>
      </c>
      <c r="F18">
        <v>-124</v>
      </c>
      <c r="G18">
        <v>-114</v>
      </c>
    </row>
    <row r="19" spans="2:7" x14ac:dyDescent="0.2">
      <c r="B19" t="s">
        <v>229</v>
      </c>
      <c r="C19">
        <v>3149</v>
      </c>
      <c r="D19">
        <v>4796</v>
      </c>
      <c r="E19">
        <v>5115</v>
      </c>
      <c r="F19">
        <v>5278</v>
      </c>
      <c r="G19">
        <v>7413</v>
      </c>
    </row>
    <row r="20" spans="2:7" x14ac:dyDescent="0.2">
      <c r="B20" s="228" t="s">
        <v>1346</v>
      </c>
      <c r="C20">
        <f>C22-C19-C21</f>
        <v>-182</v>
      </c>
      <c r="D20">
        <f>D22-D19-D21</f>
        <v>-264</v>
      </c>
      <c r="E20">
        <f>E22-E19-E21</f>
        <v>-379</v>
      </c>
      <c r="F20">
        <f>F22-F19-F21</f>
        <v>-247</v>
      </c>
      <c r="G20">
        <f>G22-G19-G21</f>
        <v>289</v>
      </c>
    </row>
    <row r="21" spans="2:7" x14ac:dyDescent="0.2">
      <c r="B21" t="s">
        <v>1338</v>
      </c>
      <c r="C21">
        <v>-22</v>
      </c>
      <c r="D21">
        <v>-91</v>
      </c>
      <c r="E21">
        <v>-28</v>
      </c>
      <c r="F21">
        <v>-30</v>
      </c>
      <c r="G21">
        <v>-171</v>
      </c>
    </row>
    <row r="22" spans="2:7" x14ac:dyDescent="0.2">
      <c r="B22" t="s">
        <v>1339</v>
      </c>
      <c r="C22">
        <f>HistoricalFS!H27</f>
        <v>2945</v>
      </c>
      <c r="D22">
        <f>HistoricalFS!I27</f>
        <v>4441</v>
      </c>
      <c r="E22">
        <f>HistoricalFS!J27</f>
        <v>4708</v>
      </c>
      <c r="F22">
        <f>HistoricalFS!K27</f>
        <v>5001</v>
      </c>
      <c r="G22">
        <f>HistoricalFS!L27</f>
        <v>7531</v>
      </c>
    </row>
    <row r="24" spans="2:7" x14ac:dyDescent="0.2">
      <c r="B24" s="23" t="s">
        <v>1340</v>
      </c>
      <c r="C24" s="21">
        <f>C14</f>
        <v>44651</v>
      </c>
      <c r="D24" s="21">
        <f t="shared" ref="D24:G24" si="2">D14</f>
        <v>45016</v>
      </c>
      <c r="E24" s="21">
        <f t="shared" si="2"/>
        <v>45382</v>
      </c>
      <c r="F24" s="21">
        <f t="shared" si="2"/>
        <v>45747</v>
      </c>
      <c r="G24" s="21">
        <f t="shared" si="2"/>
        <v>46112</v>
      </c>
    </row>
    <row r="25" spans="2:7" x14ac:dyDescent="0.2">
      <c r="B25" t="s">
        <v>1327</v>
      </c>
      <c r="C25">
        <v>1351</v>
      </c>
      <c r="D25">
        <v>1764</v>
      </c>
      <c r="E25">
        <v>2605</v>
      </c>
      <c r="F25">
        <v>2865</v>
      </c>
      <c r="G25">
        <v>3132</v>
      </c>
    </row>
    <row r="26" spans="2:7" x14ac:dyDescent="0.2">
      <c r="B26" t="s">
        <v>1328</v>
      </c>
      <c r="C26">
        <v>4998</v>
      </c>
      <c r="D26">
        <v>6376</v>
      </c>
      <c r="E26">
        <v>7632</v>
      </c>
      <c r="F26">
        <v>11488</v>
      </c>
      <c r="G26">
        <v>11653</v>
      </c>
    </row>
    <row r="27" spans="2:7" x14ac:dyDescent="0.2">
      <c r="B27" t="s">
        <v>1329</v>
      </c>
      <c r="C27">
        <v>194</v>
      </c>
      <c r="D27">
        <v>256</v>
      </c>
      <c r="E27">
        <v>261</v>
      </c>
      <c r="F27">
        <v>256</v>
      </c>
      <c r="G27">
        <v>265</v>
      </c>
    </row>
    <row r="28" spans="2:7" x14ac:dyDescent="0.2">
      <c r="B28" t="s">
        <v>1330</v>
      </c>
      <c r="C28">
        <v>117</v>
      </c>
      <c r="D28">
        <v>168</v>
      </c>
      <c r="E28">
        <v>245</v>
      </c>
      <c r="F28">
        <v>262</v>
      </c>
      <c r="G28">
        <v>270</v>
      </c>
    </row>
    <row r="29" spans="2:7" x14ac:dyDescent="0.2">
      <c r="B29" t="s">
        <v>1338</v>
      </c>
      <c r="C29">
        <v>2713</v>
      </c>
      <c r="D29">
        <v>3430</v>
      </c>
      <c r="E29">
        <v>3714</v>
      </c>
      <c r="F29">
        <v>1940</v>
      </c>
      <c r="G29">
        <v>5167</v>
      </c>
    </row>
    <row r="30" spans="2:7" x14ac:dyDescent="0.2">
      <c r="B30" t="s">
        <v>229</v>
      </c>
      <c r="C30">
        <v>9373</v>
      </c>
      <c r="D30">
        <v>11994</v>
      </c>
      <c r="E30">
        <v>14457</v>
      </c>
      <c r="F30">
        <v>16811</v>
      </c>
      <c r="G30">
        <v>20487</v>
      </c>
    </row>
    <row r="32" spans="2:7" x14ac:dyDescent="0.2">
      <c r="C32" s="21">
        <f>C24</f>
        <v>44651</v>
      </c>
      <c r="D32" s="21">
        <f t="shared" ref="D32:G32" si="3">D24</f>
        <v>45016</v>
      </c>
      <c r="E32" s="21">
        <f t="shared" si="3"/>
        <v>45382</v>
      </c>
      <c r="F32" s="21">
        <f t="shared" si="3"/>
        <v>45747</v>
      </c>
      <c r="G32" s="21">
        <f t="shared" si="3"/>
        <v>46112</v>
      </c>
    </row>
    <row r="33" spans="2:7" x14ac:dyDescent="0.2">
      <c r="B33" t="s">
        <v>1348</v>
      </c>
      <c r="C33">
        <v>36.799999999999997</v>
      </c>
      <c r="D33">
        <v>44.4</v>
      </c>
      <c r="E33">
        <v>47.1</v>
      </c>
      <c r="F33">
        <v>44.4</v>
      </c>
      <c r="G33">
        <v>48.9</v>
      </c>
    </row>
    <row r="34" spans="2:7" x14ac:dyDescent="0.2">
      <c r="B34" t="s">
        <v>1349</v>
      </c>
      <c r="C34" s="22">
        <v>4534</v>
      </c>
      <c r="D34" s="22">
        <v>5142</v>
      </c>
      <c r="E34" s="22">
        <v>5785</v>
      </c>
      <c r="F34" s="22">
        <v>6680</v>
      </c>
      <c r="G34" s="22">
        <v>7450</v>
      </c>
    </row>
  </sheetData>
  <sheetProtection sheet="1" objects="1" scenarios="1"/>
  <pageMargins left="0.7" right="0.7" top="0.75" bottom="0.75" header="0.3" footer="0.3"/>
  <pageSetup paperSize="9" orientation="portrait" horizontalDpi="0" verticalDpi="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5BFB4-9F6E-FC46-A846-3195067FC175}">
  <dimension ref="B3:BH113"/>
  <sheetViews>
    <sheetView showGridLines="0" zoomScale="91" zoomScaleNormal="150" workbookViewId="0">
      <selection activeCell="D15" sqref="D15"/>
    </sheetView>
  </sheetViews>
  <sheetFormatPr baseColWidth="10" defaultRowHeight="15" x14ac:dyDescent="0.2"/>
  <cols>
    <col min="1" max="1" width="2.5" customWidth="1"/>
    <col min="3" max="3" width="14.83203125" customWidth="1"/>
    <col min="4" max="4" width="12.1640625" bestFit="1" customWidth="1"/>
    <col min="9" max="9" width="16.6640625" bestFit="1" customWidth="1"/>
    <col min="12" max="12" width="20.83203125" bestFit="1" customWidth="1"/>
    <col min="22" max="22" width="11.33203125" bestFit="1" customWidth="1"/>
    <col min="23" max="23" width="11" bestFit="1" customWidth="1"/>
    <col min="29" max="29" width="14.6640625" bestFit="1" customWidth="1"/>
    <col min="32" max="32" width="11.33203125" bestFit="1" customWidth="1"/>
    <col min="33" max="33" width="11" bestFit="1" customWidth="1"/>
    <col min="39" max="39" width="16.5" bestFit="1" customWidth="1"/>
    <col min="42" max="42" width="11.33203125" bestFit="1" customWidth="1"/>
    <col min="43" max="43" width="11" bestFit="1" customWidth="1"/>
    <col min="49" max="49" width="16.5" bestFit="1" customWidth="1"/>
    <col min="52" max="52" width="11.33203125" bestFit="1" customWidth="1"/>
    <col min="53" max="53" width="11" bestFit="1" customWidth="1"/>
  </cols>
  <sheetData>
    <row r="3" spans="2:60" x14ac:dyDescent="0.2">
      <c r="B3" s="88" t="s">
        <v>262</v>
      </c>
      <c r="C3" s="88"/>
    </row>
    <row r="4" spans="2:60" x14ac:dyDescent="0.2">
      <c r="B4" s="87"/>
      <c r="C4" s="87"/>
    </row>
    <row r="5" spans="2:60" x14ac:dyDescent="0.2">
      <c r="B5" s="268" t="s">
        <v>261</v>
      </c>
      <c r="C5" s="268"/>
      <c r="D5" s="268"/>
      <c r="F5" s="268" t="s">
        <v>255</v>
      </c>
      <c r="G5" s="268"/>
      <c r="I5" s="268" t="s">
        <v>254</v>
      </c>
      <c r="J5" s="268"/>
      <c r="L5" t="s">
        <v>260</v>
      </c>
      <c r="M5" s="86">
        <f>SLOPE(D9:D113,G9:G113)</f>
        <v>0.97667834526784525</v>
      </c>
      <c r="V5" s="268" t="s">
        <v>259</v>
      </c>
      <c r="W5" s="268"/>
      <c r="X5" s="268"/>
      <c r="Z5" s="268" t="s">
        <v>255</v>
      </c>
      <c r="AA5" s="268"/>
      <c r="AC5" s="268" t="s">
        <v>254</v>
      </c>
      <c r="AD5" s="268"/>
      <c r="AF5" s="268" t="s">
        <v>258</v>
      </c>
      <c r="AG5" s="268"/>
      <c r="AH5" s="268"/>
      <c r="AJ5" s="268" t="s">
        <v>255</v>
      </c>
      <c r="AK5" s="268"/>
      <c r="AM5" s="268" t="s">
        <v>254</v>
      </c>
      <c r="AN5" s="268"/>
      <c r="AP5" s="268" t="s">
        <v>257</v>
      </c>
      <c r="AQ5" s="268"/>
      <c r="AR5" s="268"/>
      <c r="AT5" s="268" t="s">
        <v>255</v>
      </c>
      <c r="AU5" s="268"/>
      <c r="AW5" s="268" t="s">
        <v>254</v>
      </c>
      <c r="AX5" s="268"/>
      <c r="AZ5" s="268" t="s">
        <v>256</v>
      </c>
      <c r="BA5" s="268"/>
      <c r="BB5" s="268"/>
      <c r="BD5" s="268" t="s">
        <v>255</v>
      </c>
      <c r="BE5" s="268"/>
      <c r="BG5" s="268" t="s">
        <v>254</v>
      </c>
      <c r="BH5" s="268"/>
    </row>
    <row r="6" spans="2:60" x14ac:dyDescent="0.2">
      <c r="L6" t="s">
        <v>253</v>
      </c>
      <c r="M6" s="86">
        <f>_xlfn.COVARIANCE.S(D8:D113,G8:G113)/_xlfn.VAR.S(G8:G113)</f>
        <v>0.97667834526784458</v>
      </c>
    </row>
    <row r="7" spans="2:60" x14ac:dyDescent="0.2">
      <c r="B7" s="44" t="s">
        <v>252</v>
      </c>
      <c r="C7" s="44" t="s">
        <v>251</v>
      </c>
      <c r="D7" s="44" t="s">
        <v>250</v>
      </c>
      <c r="F7" s="44" t="s">
        <v>251</v>
      </c>
      <c r="G7" s="44" t="s">
        <v>250</v>
      </c>
      <c r="I7" t="s">
        <v>249</v>
      </c>
      <c r="J7" s="86">
        <f>M8</f>
        <v>0.97667834526784536</v>
      </c>
      <c r="V7" s="44" t="s">
        <v>252</v>
      </c>
      <c r="W7" s="44" t="s">
        <v>251</v>
      </c>
      <c r="X7" s="44" t="s">
        <v>250</v>
      </c>
      <c r="Z7" s="44" t="s">
        <v>251</v>
      </c>
      <c r="AA7" s="44" t="s">
        <v>250</v>
      </c>
      <c r="AC7" t="s">
        <v>249</v>
      </c>
      <c r="AD7" s="86">
        <f>SLOPE(X9:X112,AA9:AA112)</f>
        <v>1.5734218068164971</v>
      </c>
      <c r="AF7" s="44" t="s">
        <v>252</v>
      </c>
      <c r="AG7" s="44" t="s">
        <v>251</v>
      </c>
      <c r="AH7" s="44" t="s">
        <v>250</v>
      </c>
      <c r="AJ7" s="44" t="s">
        <v>251</v>
      </c>
      <c r="AK7" s="44" t="s">
        <v>250</v>
      </c>
      <c r="AM7" t="s">
        <v>249</v>
      </c>
      <c r="AN7" s="86">
        <f>SLOPE(AH9:AH112,AK9:AK112)</f>
        <v>0.5683506203133819</v>
      </c>
      <c r="AP7" s="44" t="s">
        <v>252</v>
      </c>
      <c r="AQ7" s="44" t="s">
        <v>251</v>
      </c>
      <c r="AR7" s="44" t="s">
        <v>250</v>
      </c>
      <c r="AT7" s="44" t="s">
        <v>251</v>
      </c>
      <c r="AU7" s="44" t="s">
        <v>250</v>
      </c>
      <c r="AW7" t="s">
        <v>249</v>
      </c>
      <c r="AX7" s="86">
        <f>SLOPE(AR9:AR112,AU9:AU112)</f>
        <v>1.2305792075944824</v>
      </c>
      <c r="AZ7" s="44" t="s">
        <v>252</v>
      </c>
      <c r="BA7" s="44" t="s">
        <v>251</v>
      </c>
      <c r="BB7" s="44" t="s">
        <v>250</v>
      </c>
      <c r="BD7" s="44" t="s">
        <v>251</v>
      </c>
      <c r="BE7" s="44" t="s">
        <v>250</v>
      </c>
      <c r="BG7" t="s">
        <v>249</v>
      </c>
      <c r="BH7" s="86">
        <f>SLOPE(BB9:BB59,BE9:BE59)</f>
        <v>0.27185751153267851</v>
      </c>
    </row>
    <row r="8" spans="2:60" x14ac:dyDescent="0.2">
      <c r="B8" s="75">
        <v>45516</v>
      </c>
      <c r="C8" s="74">
        <v>3423.18</v>
      </c>
      <c r="F8" s="74">
        <v>24541.15</v>
      </c>
      <c r="I8" t="s">
        <v>247</v>
      </c>
      <c r="J8" s="84">
        <v>0.75</v>
      </c>
      <c r="L8" s="23" t="s">
        <v>248</v>
      </c>
      <c r="M8" s="85">
        <f>M29</f>
        <v>0.97667834526784536</v>
      </c>
      <c r="V8" s="76">
        <v>45516</v>
      </c>
      <c r="W8" s="74">
        <v>571.28</v>
      </c>
      <c r="Z8" s="74">
        <v>24541.15</v>
      </c>
      <c r="AC8" t="s">
        <v>247</v>
      </c>
      <c r="AD8" s="84">
        <v>0.75</v>
      </c>
      <c r="AF8" s="76">
        <v>45516</v>
      </c>
      <c r="AG8" s="74">
        <v>1780.69</v>
      </c>
      <c r="AJ8" s="74">
        <v>24541.15</v>
      </c>
      <c r="AM8" t="s">
        <v>247</v>
      </c>
      <c r="AN8" s="84">
        <v>0.75</v>
      </c>
      <c r="AP8" s="76">
        <v>45516</v>
      </c>
      <c r="AQ8" s="74">
        <v>239.97</v>
      </c>
      <c r="AT8" s="74">
        <v>24541.15</v>
      </c>
      <c r="AW8" t="s">
        <v>247</v>
      </c>
      <c r="AX8" s="84">
        <v>0.75</v>
      </c>
      <c r="AZ8" s="76">
        <v>45887</v>
      </c>
      <c r="BA8" s="74">
        <v>546.35</v>
      </c>
      <c r="BD8" s="77">
        <v>24870.1</v>
      </c>
      <c r="BG8" t="s">
        <v>247</v>
      </c>
      <c r="BH8" s="84">
        <v>0.75</v>
      </c>
    </row>
    <row r="9" spans="2:60" x14ac:dyDescent="0.2">
      <c r="B9" s="75">
        <v>45523</v>
      </c>
      <c r="C9" s="74">
        <v>3547.65</v>
      </c>
      <c r="D9" s="31">
        <f t="shared" ref="D9:D40" si="0">C9/C8-1</f>
        <v>3.6360927558585887E-2</v>
      </c>
      <c r="F9" s="74">
        <v>24823.15</v>
      </c>
      <c r="G9" s="31">
        <f t="shared" ref="G9:G40" si="1">F9/F8-1</f>
        <v>1.1490904052988471E-2</v>
      </c>
      <c r="J9" s="84"/>
      <c r="V9" s="76">
        <v>45523</v>
      </c>
      <c r="W9" s="74">
        <v>587.17999999999995</v>
      </c>
      <c r="X9" s="31">
        <f t="shared" ref="X9:X40" si="2">W9/W8-1</f>
        <v>2.7832236381459152E-2</v>
      </c>
      <c r="Z9" s="74">
        <v>24823.15</v>
      </c>
      <c r="AA9" s="31">
        <f t="shared" ref="AA9:AA40" si="3">Z9/Z8-1</f>
        <v>1.1490904052988471E-2</v>
      </c>
      <c r="AD9" s="84"/>
      <c r="AF9" s="76">
        <v>45523</v>
      </c>
      <c r="AG9" s="74">
        <v>1908.03</v>
      </c>
      <c r="AH9" s="31">
        <f t="shared" ref="AH9:AH40" si="4">AG9/AG8-1</f>
        <v>7.1511605051974181E-2</v>
      </c>
      <c r="AJ9" s="74">
        <v>24823.15</v>
      </c>
      <c r="AK9" s="31">
        <f t="shared" ref="AK9:AK40" si="5">AJ9/AJ8-1</f>
        <v>1.1490904052988471E-2</v>
      </c>
      <c r="AN9" s="84"/>
      <c r="AP9" s="76">
        <v>45523</v>
      </c>
      <c r="AQ9" s="74">
        <v>253.7</v>
      </c>
      <c r="AR9" s="31">
        <f t="shared" ref="AR9:AR40" si="6">AQ9/AQ8-1</f>
        <v>5.7215485268991895E-2</v>
      </c>
      <c r="AT9" s="74">
        <v>24823.15</v>
      </c>
      <c r="AU9" s="31">
        <f t="shared" ref="AU9:AU40" si="7">AT9/AT8-1</f>
        <v>1.1490904052988471E-2</v>
      </c>
      <c r="AX9" s="84"/>
      <c r="AZ9" s="76">
        <v>45894</v>
      </c>
      <c r="BA9" s="74">
        <v>534.79999999999995</v>
      </c>
      <c r="BB9" s="31">
        <f t="shared" ref="BB9:BB40" si="8">BA9/BA8-1</f>
        <v>-2.1140294682895688E-2</v>
      </c>
      <c r="BD9" s="77">
        <v>24426.85</v>
      </c>
      <c r="BE9" s="31">
        <f t="shared" ref="BE9:BE40" si="9">BD9/BD8-1</f>
        <v>-1.7822606262138052E-2</v>
      </c>
      <c r="BH9" s="84"/>
    </row>
    <row r="10" spans="2:60" x14ac:dyDescent="0.2">
      <c r="B10" s="75">
        <v>45530</v>
      </c>
      <c r="C10" s="74">
        <v>3542.83</v>
      </c>
      <c r="D10" s="31">
        <f t="shared" si="0"/>
        <v>-1.3586458641636767E-3</v>
      </c>
      <c r="F10" s="74">
        <v>25235.9</v>
      </c>
      <c r="G10" s="31">
        <f t="shared" si="1"/>
        <v>1.6627623810837822E-2</v>
      </c>
      <c r="I10" t="s">
        <v>246</v>
      </c>
      <c r="J10" s="83">
        <v>1</v>
      </c>
      <c r="V10" s="76">
        <v>45530</v>
      </c>
      <c r="W10" s="74">
        <v>613.41</v>
      </c>
      <c r="X10" s="31">
        <f t="shared" si="2"/>
        <v>4.4671140025205336E-2</v>
      </c>
      <c r="Z10" s="74">
        <v>25235.9</v>
      </c>
      <c r="AA10" s="31">
        <f t="shared" si="3"/>
        <v>1.6627623810837822E-2</v>
      </c>
      <c r="AC10" t="s">
        <v>246</v>
      </c>
      <c r="AD10" s="83">
        <v>1</v>
      </c>
      <c r="AF10" s="76">
        <v>45530</v>
      </c>
      <c r="AG10" s="74">
        <v>2016.8</v>
      </c>
      <c r="AH10" s="31">
        <f t="shared" si="4"/>
        <v>5.7006441198513613E-2</v>
      </c>
      <c r="AJ10" s="74">
        <v>25235.9</v>
      </c>
      <c r="AK10" s="31">
        <f t="shared" si="5"/>
        <v>1.6627623810837822E-2</v>
      </c>
      <c r="AM10" t="s">
        <v>246</v>
      </c>
      <c r="AN10" s="83">
        <v>1</v>
      </c>
      <c r="AP10" s="76">
        <v>45530</v>
      </c>
      <c r="AQ10" s="74">
        <v>260.68</v>
      </c>
      <c r="AR10" s="31">
        <f t="shared" si="6"/>
        <v>2.7512810405991406E-2</v>
      </c>
      <c r="AT10" s="74">
        <v>25235.9</v>
      </c>
      <c r="AU10" s="31">
        <f t="shared" si="7"/>
        <v>1.6627623810837822E-2</v>
      </c>
      <c r="AW10" t="s">
        <v>246</v>
      </c>
      <c r="AX10" s="83">
        <v>1</v>
      </c>
      <c r="AZ10" s="76">
        <v>45901</v>
      </c>
      <c r="BA10" s="74">
        <v>604.25</v>
      </c>
      <c r="BB10" s="31">
        <f t="shared" si="8"/>
        <v>0.12986163051608091</v>
      </c>
      <c r="BD10" s="77">
        <v>24741</v>
      </c>
      <c r="BE10" s="31">
        <f t="shared" si="9"/>
        <v>1.2860847796584585E-2</v>
      </c>
      <c r="BG10" t="s">
        <v>246</v>
      </c>
      <c r="BH10" s="83">
        <v>1</v>
      </c>
    </row>
    <row r="11" spans="2:60" x14ac:dyDescent="0.2">
      <c r="B11" s="75">
        <v>45537</v>
      </c>
      <c r="C11" s="74">
        <v>3672.36</v>
      </c>
      <c r="D11" s="31">
        <f t="shared" si="0"/>
        <v>3.6561167202490807E-2</v>
      </c>
      <c r="F11" s="74">
        <v>24852.15</v>
      </c>
      <c r="G11" s="31">
        <f t="shared" si="1"/>
        <v>-1.5206511358818231E-2</v>
      </c>
      <c r="I11" t="s">
        <v>245</v>
      </c>
      <c r="J11" s="20">
        <f>1-J8</f>
        <v>0.25</v>
      </c>
      <c r="V11" s="76">
        <v>45537</v>
      </c>
      <c r="W11" s="74">
        <v>646.30999999999995</v>
      </c>
      <c r="X11" s="31">
        <f t="shared" si="2"/>
        <v>5.3634600022823165E-2</v>
      </c>
      <c r="Z11" s="74">
        <v>24852.15</v>
      </c>
      <c r="AA11" s="31">
        <f t="shared" si="3"/>
        <v>-1.5206511358818231E-2</v>
      </c>
      <c r="AC11" t="s">
        <v>245</v>
      </c>
      <c r="AD11" s="20">
        <f>1-AD8</f>
        <v>0.25</v>
      </c>
      <c r="AF11" s="76">
        <v>45537</v>
      </c>
      <c r="AG11" s="74">
        <v>2092.09</v>
      </c>
      <c r="AH11" s="31">
        <f t="shared" si="4"/>
        <v>3.7331416104720461E-2</v>
      </c>
      <c r="AJ11" s="74">
        <v>24852.15</v>
      </c>
      <c r="AK11" s="31">
        <f t="shared" si="5"/>
        <v>-1.5206511358818231E-2</v>
      </c>
      <c r="AM11" t="s">
        <v>245</v>
      </c>
      <c r="AN11" s="20">
        <f>1-AN8</f>
        <v>0.25</v>
      </c>
      <c r="AP11" s="76">
        <v>45537</v>
      </c>
      <c r="AQ11" s="74">
        <v>276.7</v>
      </c>
      <c r="AR11" s="31">
        <f t="shared" si="6"/>
        <v>6.1454657050790118E-2</v>
      </c>
      <c r="AT11" s="74">
        <v>24852.15</v>
      </c>
      <c r="AU11" s="31">
        <f t="shared" si="7"/>
        <v>-1.5206511358818231E-2</v>
      </c>
      <c r="AW11" t="s">
        <v>245</v>
      </c>
      <c r="AX11" s="20">
        <f>1-AX8</f>
        <v>0.25</v>
      </c>
      <c r="AZ11" s="76">
        <v>45908</v>
      </c>
      <c r="BA11" s="74">
        <v>642.1</v>
      </c>
      <c r="BB11" s="31">
        <f t="shared" si="8"/>
        <v>6.263963591228805E-2</v>
      </c>
      <c r="BD11" s="77">
        <v>25114</v>
      </c>
      <c r="BE11" s="31">
        <f t="shared" si="9"/>
        <v>1.5076189321369338E-2</v>
      </c>
      <c r="BG11" t="s">
        <v>245</v>
      </c>
      <c r="BH11" s="20">
        <f>1-BH8</f>
        <v>0.25</v>
      </c>
    </row>
    <row r="12" spans="2:60" x14ac:dyDescent="0.2">
      <c r="B12" s="75">
        <v>45544</v>
      </c>
      <c r="C12" s="74">
        <v>3743.41</v>
      </c>
      <c r="D12" s="31">
        <f t="shared" si="0"/>
        <v>1.9347231752878224E-2</v>
      </c>
      <c r="F12" s="74">
        <v>25356.5</v>
      </c>
      <c r="G12" s="31">
        <f t="shared" si="1"/>
        <v>2.0294018827344829E-2</v>
      </c>
      <c r="L12" t="s">
        <v>244</v>
      </c>
      <c r="V12" s="76">
        <v>45544</v>
      </c>
      <c r="W12" s="74">
        <v>713.96</v>
      </c>
      <c r="X12" s="31">
        <f t="shared" si="2"/>
        <v>0.10467113304760889</v>
      </c>
      <c r="Z12" s="74">
        <v>25356.5</v>
      </c>
      <c r="AA12" s="31">
        <f t="shared" si="3"/>
        <v>2.0294018827344829E-2</v>
      </c>
      <c r="AF12" s="76">
        <v>45544</v>
      </c>
      <c r="AG12" s="74">
        <v>2233.65</v>
      </c>
      <c r="AH12" s="31">
        <f t="shared" si="4"/>
        <v>6.7664393023244562E-2</v>
      </c>
      <c r="AJ12" s="74">
        <v>25356.5</v>
      </c>
      <c r="AK12" s="31">
        <f t="shared" si="5"/>
        <v>2.0294018827344829E-2</v>
      </c>
      <c r="AP12" s="76">
        <v>45544</v>
      </c>
      <c r="AQ12" s="74">
        <v>273.49</v>
      </c>
      <c r="AR12" s="31">
        <f t="shared" si="6"/>
        <v>-1.160101192627383E-2</v>
      </c>
      <c r="AT12" s="74">
        <v>25356.5</v>
      </c>
      <c r="AU12" s="31">
        <f t="shared" si="7"/>
        <v>2.0294018827344829E-2</v>
      </c>
      <c r="AZ12" s="76">
        <v>45915</v>
      </c>
      <c r="BA12" s="74">
        <v>609.1</v>
      </c>
      <c r="BB12" s="31">
        <f t="shared" si="8"/>
        <v>-5.1393863884130142E-2</v>
      </c>
      <c r="BD12" s="77">
        <v>25327.05</v>
      </c>
      <c r="BE12" s="31">
        <f t="shared" si="9"/>
        <v>8.4833160786812467E-3</v>
      </c>
    </row>
    <row r="13" spans="2:60" ht="16" thickBot="1" x14ac:dyDescent="0.25">
      <c r="B13" s="75">
        <v>45551</v>
      </c>
      <c r="C13" s="74">
        <v>3773.43</v>
      </c>
      <c r="D13" s="31">
        <f t="shared" si="0"/>
        <v>8.0194261382002807E-3</v>
      </c>
      <c r="F13" s="74">
        <v>25790.95</v>
      </c>
      <c r="G13" s="31">
        <f t="shared" si="1"/>
        <v>1.7133673811448702E-2</v>
      </c>
      <c r="I13" s="43" t="s">
        <v>243</v>
      </c>
      <c r="J13" s="82">
        <f>(J7*J8)+(J10*J11)</f>
        <v>0.98250875895088408</v>
      </c>
      <c r="V13" s="76">
        <v>45551</v>
      </c>
      <c r="W13" s="74">
        <v>728.37</v>
      </c>
      <c r="X13" s="31">
        <f t="shared" si="2"/>
        <v>2.0183203540814487E-2</v>
      </c>
      <c r="Z13" s="74">
        <v>25790.95</v>
      </c>
      <c r="AA13" s="31">
        <f t="shared" si="3"/>
        <v>1.7133673811448702E-2</v>
      </c>
      <c r="AC13" s="43" t="s">
        <v>243</v>
      </c>
      <c r="AD13" s="82">
        <f>(AD7*AD8)+(AD10*AD11)</f>
        <v>1.4300663551123729</v>
      </c>
      <c r="AF13" s="76">
        <v>45551</v>
      </c>
      <c r="AG13" s="74">
        <v>2211.0100000000002</v>
      </c>
      <c r="AH13" s="31">
        <f t="shared" si="4"/>
        <v>-1.0135876256351706E-2</v>
      </c>
      <c r="AJ13" s="74">
        <v>25790.95</v>
      </c>
      <c r="AK13" s="31">
        <f t="shared" si="5"/>
        <v>1.7133673811448702E-2</v>
      </c>
      <c r="AM13" s="43" t="s">
        <v>243</v>
      </c>
      <c r="AN13" s="82">
        <f>(AN7*AN8)+(AN10*AN11)</f>
        <v>0.67626296523503648</v>
      </c>
      <c r="AP13" s="76">
        <v>45551</v>
      </c>
      <c r="AQ13" s="74">
        <v>249.46</v>
      </c>
      <c r="AR13" s="31">
        <f t="shared" si="6"/>
        <v>-8.7864272916742814E-2</v>
      </c>
      <c r="AT13" s="74">
        <v>25790.95</v>
      </c>
      <c r="AU13" s="31">
        <f t="shared" si="7"/>
        <v>1.7133673811448702E-2</v>
      </c>
      <c r="AW13" s="43" t="s">
        <v>243</v>
      </c>
      <c r="AX13" s="82">
        <f>(AX7*AX8)+(AX10*AX11)</f>
        <v>1.1729344056958617</v>
      </c>
      <c r="AZ13" s="76">
        <v>45922</v>
      </c>
      <c r="BA13" s="74">
        <v>567.45000000000005</v>
      </c>
      <c r="BB13" s="31">
        <f t="shared" si="8"/>
        <v>-6.8379576424232424E-2</v>
      </c>
      <c r="BD13" s="77">
        <v>24654.7</v>
      </c>
      <c r="BE13" s="31">
        <f t="shared" si="9"/>
        <v>-2.6546715863079107E-2</v>
      </c>
      <c r="BG13" s="43" t="s">
        <v>243</v>
      </c>
      <c r="BH13" s="82">
        <f>(BH7*BH8)+(BH10*BH11)</f>
        <v>0.4538931336495089</v>
      </c>
    </row>
    <row r="14" spans="2:60" x14ac:dyDescent="0.2">
      <c r="B14" s="75">
        <v>45558</v>
      </c>
      <c r="C14" s="74">
        <v>3792.8</v>
      </c>
      <c r="D14" s="31">
        <f t="shared" si="0"/>
        <v>5.1332607203526948E-3</v>
      </c>
      <c r="F14" s="74">
        <v>26178.95</v>
      </c>
      <c r="G14" s="31">
        <f t="shared" si="1"/>
        <v>1.5044036764834123E-2</v>
      </c>
      <c r="L14" s="81" t="s">
        <v>242</v>
      </c>
      <c r="M14" s="81"/>
      <c r="V14" s="76">
        <v>45558</v>
      </c>
      <c r="W14" s="74">
        <v>704.64</v>
      </c>
      <c r="X14" s="31">
        <f t="shared" si="2"/>
        <v>-3.2579595535236261E-2</v>
      </c>
      <c r="Z14" s="74">
        <v>26178.95</v>
      </c>
      <c r="AA14" s="31">
        <f t="shared" si="3"/>
        <v>1.5044036764834123E-2</v>
      </c>
      <c r="AF14" s="76">
        <v>45558</v>
      </c>
      <c r="AG14" s="74">
        <v>2396.9</v>
      </c>
      <c r="AH14" s="31">
        <f t="shared" si="4"/>
        <v>8.4074698893265909E-2</v>
      </c>
      <c r="AJ14" s="74">
        <v>26178.95</v>
      </c>
      <c r="AK14" s="31">
        <f t="shared" si="5"/>
        <v>1.5044036764834123E-2</v>
      </c>
      <c r="AP14" s="76">
        <v>45558</v>
      </c>
      <c r="AQ14" s="74">
        <v>257.23</v>
      </c>
      <c r="AR14" s="31">
        <f t="shared" si="6"/>
        <v>3.1147278120740918E-2</v>
      </c>
      <c r="AT14" s="74">
        <v>26178.95</v>
      </c>
      <c r="AU14" s="31">
        <f t="shared" si="7"/>
        <v>1.5044036764834123E-2</v>
      </c>
      <c r="AZ14" s="76">
        <v>45929</v>
      </c>
      <c r="BA14" s="74">
        <v>611.85</v>
      </c>
      <c r="BB14" s="31">
        <f t="shared" si="8"/>
        <v>7.8244779275707055E-2</v>
      </c>
      <c r="BD14" s="77">
        <v>24894.25</v>
      </c>
      <c r="BE14" s="31">
        <f t="shared" si="9"/>
        <v>9.7162001565624934E-3</v>
      </c>
    </row>
    <row r="15" spans="2:60" x14ac:dyDescent="0.2">
      <c r="B15" s="75">
        <v>45565</v>
      </c>
      <c r="C15" s="74">
        <v>3647.12</v>
      </c>
      <c r="D15" s="31">
        <f t="shared" si="0"/>
        <v>-3.8409618224003461E-2</v>
      </c>
      <c r="F15" s="74">
        <v>25014.6</v>
      </c>
      <c r="G15" s="31">
        <f t="shared" si="1"/>
        <v>-4.4476573735768743E-2</v>
      </c>
      <c r="L15" t="s">
        <v>241</v>
      </c>
      <c r="M15">
        <v>0.5676936743095673</v>
      </c>
      <c r="V15" s="76">
        <v>45565</v>
      </c>
      <c r="W15" s="74">
        <v>710.87</v>
      </c>
      <c r="X15" s="31">
        <f t="shared" si="2"/>
        <v>8.8413941871026136E-3</v>
      </c>
      <c r="Z15" s="74">
        <v>25014.6</v>
      </c>
      <c r="AA15" s="31">
        <f t="shared" si="3"/>
        <v>-4.4476573735768743E-2</v>
      </c>
      <c r="AF15" s="76">
        <v>45565</v>
      </c>
      <c r="AG15" s="74">
        <v>2352.0700000000002</v>
      </c>
      <c r="AH15" s="31">
        <f t="shared" si="4"/>
        <v>-1.8703325128290649E-2</v>
      </c>
      <c r="AJ15" s="74">
        <v>25014.6</v>
      </c>
      <c r="AK15" s="31">
        <f t="shared" si="5"/>
        <v>-4.4476573735768743E-2</v>
      </c>
      <c r="AP15" s="76">
        <v>45565</v>
      </c>
      <c r="AQ15" s="74">
        <v>270.68</v>
      </c>
      <c r="AR15" s="31">
        <f t="shared" si="6"/>
        <v>5.2287835788982662E-2</v>
      </c>
      <c r="AT15" s="74">
        <v>25014.6</v>
      </c>
      <c r="AU15" s="31">
        <f t="shared" si="7"/>
        <v>-4.4476573735768743E-2</v>
      </c>
      <c r="AZ15" s="76">
        <v>45936</v>
      </c>
      <c r="BA15" s="74">
        <v>702.05</v>
      </c>
      <c r="BB15" s="31">
        <f t="shared" si="8"/>
        <v>0.14742175369780153</v>
      </c>
      <c r="BD15" s="77">
        <v>25285.35</v>
      </c>
      <c r="BE15" s="31">
        <f t="shared" si="9"/>
        <v>1.5710455225604214E-2</v>
      </c>
    </row>
    <row r="16" spans="2:60" x14ac:dyDescent="0.2">
      <c r="B16" s="75">
        <v>45572</v>
      </c>
      <c r="C16" s="74">
        <v>3452.65</v>
      </c>
      <c r="D16" s="31">
        <f t="shared" si="0"/>
        <v>-5.3321524929259234E-2</v>
      </c>
      <c r="F16" s="74">
        <v>24964.25</v>
      </c>
      <c r="G16" s="31">
        <f t="shared" si="1"/>
        <v>-2.0128245104857889E-3</v>
      </c>
      <c r="L16" t="s">
        <v>240</v>
      </c>
      <c r="M16">
        <v>0.32227610785109712</v>
      </c>
      <c r="V16" s="76">
        <v>45572</v>
      </c>
      <c r="W16" s="74">
        <v>718.2</v>
      </c>
      <c r="X16" s="31">
        <f t="shared" si="2"/>
        <v>1.0311308678098818E-2</v>
      </c>
      <c r="Z16" s="74">
        <v>24964.25</v>
      </c>
      <c r="AA16" s="31">
        <f t="shared" si="3"/>
        <v>-2.0128245104857889E-3</v>
      </c>
      <c r="AF16" s="76">
        <v>45572</v>
      </c>
      <c r="AG16" s="74">
        <v>2509.6799999999998</v>
      </c>
      <c r="AH16" s="31">
        <f t="shared" si="4"/>
        <v>6.7009060104503471E-2</v>
      </c>
      <c r="AJ16" s="74">
        <v>24964.25</v>
      </c>
      <c r="AK16" s="31">
        <f t="shared" si="5"/>
        <v>-2.0128245104857889E-3</v>
      </c>
      <c r="AP16" s="76">
        <v>45572</v>
      </c>
      <c r="AQ16" s="74">
        <v>303.67</v>
      </c>
      <c r="AR16" s="31">
        <f t="shared" si="6"/>
        <v>0.12187823259937947</v>
      </c>
      <c r="AT16" s="74">
        <v>24964.25</v>
      </c>
      <c r="AU16" s="31">
        <f t="shared" si="7"/>
        <v>-2.0128245104857889E-3</v>
      </c>
      <c r="AZ16" s="76">
        <v>45943</v>
      </c>
      <c r="BA16" s="74">
        <v>714.55</v>
      </c>
      <c r="BB16" s="31">
        <f t="shared" si="8"/>
        <v>1.7804999643900032E-2</v>
      </c>
      <c r="BD16" s="77">
        <v>25709.85</v>
      </c>
      <c r="BE16" s="31">
        <f t="shared" si="9"/>
        <v>1.6788377459675319E-2</v>
      </c>
    </row>
    <row r="17" spans="2:57" x14ac:dyDescent="0.2">
      <c r="B17" s="75">
        <v>45579</v>
      </c>
      <c r="C17" s="74">
        <v>3360.28</v>
      </c>
      <c r="D17" s="31">
        <f t="shared" si="0"/>
        <v>-2.6753363358579585E-2</v>
      </c>
      <c r="F17" s="74">
        <v>24854.05</v>
      </c>
      <c r="G17" s="31">
        <f t="shared" si="1"/>
        <v>-4.4143124668275524E-3</v>
      </c>
      <c r="L17" t="s">
        <v>239</v>
      </c>
      <c r="M17">
        <v>0.31569626423800096</v>
      </c>
      <c r="V17" s="76">
        <v>45579</v>
      </c>
      <c r="W17" s="74">
        <v>716.85</v>
      </c>
      <c r="X17" s="31">
        <f t="shared" si="2"/>
        <v>-1.87969924812037E-3</v>
      </c>
      <c r="Z17" s="74">
        <v>24854.05</v>
      </c>
      <c r="AA17" s="31">
        <f t="shared" si="3"/>
        <v>-4.4143124668275524E-3</v>
      </c>
      <c r="AF17" s="76">
        <v>45579</v>
      </c>
      <c r="AG17" s="74">
        <v>2392.84</v>
      </c>
      <c r="AH17" s="31">
        <f t="shared" si="4"/>
        <v>-4.6555736189474284E-2</v>
      </c>
      <c r="AJ17" s="74">
        <v>24854.05</v>
      </c>
      <c r="AK17" s="31">
        <f t="shared" si="5"/>
        <v>-4.4143124668275524E-3</v>
      </c>
      <c r="AP17" s="76">
        <v>45579</v>
      </c>
      <c r="AQ17" s="74">
        <v>318.14</v>
      </c>
      <c r="AR17" s="31">
        <f t="shared" si="6"/>
        <v>4.7650409984522524E-2</v>
      </c>
      <c r="AT17" s="74">
        <v>24854.05</v>
      </c>
      <c r="AU17" s="31">
        <f t="shared" si="7"/>
        <v>-4.4143124668275524E-3</v>
      </c>
      <c r="AZ17" s="76">
        <v>45950</v>
      </c>
      <c r="BA17" s="74">
        <v>743.8</v>
      </c>
      <c r="BB17" s="31">
        <f t="shared" si="8"/>
        <v>4.0934854103981566E-2</v>
      </c>
      <c r="BD17" s="77">
        <v>25795.15</v>
      </c>
      <c r="BE17" s="31">
        <f t="shared" si="9"/>
        <v>3.3177945417808274E-3</v>
      </c>
    </row>
    <row r="18" spans="2:57" x14ac:dyDescent="0.2">
      <c r="B18" s="75">
        <v>45586</v>
      </c>
      <c r="C18" s="74">
        <v>3246.1</v>
      </c>
      <c r="D18" s="31">
        <f t="shared" si="0"/>
        <v>-3.3979311247872235E-2</v>
      </c>
      <c r="F18" s="74">
        <v>24180.799999999999</v>
      </c>
      <c r="G18" s="31">
        <f t="shared" si="1"/>
        <v>-2.7088140564616281E-2</v>
      </c>
      <c r="L18" t="s">
        <v>227</v>
      </c>
      <c r="M18">
        <v>2.6348006116651185E-2</v>
      </c>
      <c r="V18" s="76">
        <v>45586</v>
      </c>
      <c r="W18" s="74">
        <v>669.74</v>
      </c>
      <c r="X18" s="31">
        <f t="shared" si="2"/>
        <v>-6.5718072121085269E-2</v>
      </c>
      <c r="Z18" s="74">
        <v>24180.799999999999</v>
      </c>
      <c r="AA18" s="31">
        <f t="shared" si="3"/>
        <v>-2.7088140564616281E-2</v>
      </c>
      <c r="AF18" s="76">
        <v>45586</v>
      </c>
      <c r="AG18" s="74">
        <v>2120.7600000000002</v>
      </c>
      <c r="AH18" s="31">
        <f t="shared" si="4"/>
        <v>-0.11370588923622138</v>
      </c>
      <c r="AJ18" s="74">
        <v>24180.799999999999</v>
      </c>
      <c r="AK18" s="31">
        <f t="shared" si="5"/>
        <v>-2.7088140564616281E-2</v>
      </c>
      <c r="AP18" s="76">
        <v>45586</v>
      </c>
      <c r="AQ18" s="74">
        <v>348.7</v>
      </c>
      <c r="AR18" s="31">
        <f t="shared" si="6"/>
        <v>9.6058339095995482E-2</v>
      </c>
      <c r="AT18" s="74">
        <v>24180.799999999999</v>
      </c>
      <c r="AU18" s="31">
        <f t="shared" si="7"/>
        <v>-2.7088140564616281E-2</v>
      </c>
      <c r="AZ18" s="76">
        <v>45957</v>
      </c>
      <c r="BA18" s="74">
        <v>708</v>
      </c>
      <c r="BB18" s="31">
        <f t="shared" si="8"/>
        <v>-4.8131218069373483E-2</v>
      </c>
      <c r="BD18" s="77">
        <v>25722.1</v>
      </c>
      <c r="BE18" s="31">
        <f t="shared" si="9"/>
        <v>-2.8319277073404203E-3</v>
      </c>
    </row>
    <row r="19" spans="2:57" ht="16" thickBot="1" x14ac:dyDescent="0.25">
      <c r="B19" s="75">
        <v>45593</v>
      </c>
      <c r="C19" s="74">
        <v>3273.08</v>
      </c>
      <c r="D19" s="31">
        <f t="shared" si="0"/>
        <v>8.3115122762700278E-3</v>
      </c>
      <c r="F19" s="74">
        <v>24304.35</v>
      </c>
      <c r="G19" s="31">
        <f t="shared" si="1"/>
        <v>5.1094256600276999E-3</v>
      </c>
      <c r="L19" s="78" t="s">
        <v>238</v>
      </c>
      <c r="M19" s="78">
        <v>105</v>
      </c>
      <c r="V19" s="76">
        <v>45593</v>
      </c>
      <c r="W19" s="74">
        <v>668.84</v>
      </c>
      <c r="X19" s="31">
        <f t="shared" si="2"/>
        <v>-1.3438050586794814E-3</v>
      </c>
      <c r="Z19" s="74">
        <v>24304.35</v>
      </c>
      <c r="AA19" s="31">
        <f t="shared" si="3"/>
        <v>5.1094256600276999E-3</v>
      </c>
      <c r="AF19" s="76">
        <v>45593</v>
      </c>
      <c r="AG19" s="74">
        <v>2270.7399999999998</v>
      </c>
      <c r="AH19" s="31">
        <f t="shared" si="4"/>
        <v>7.0719930590920077E-2</v>
      </c>
      <c r="AJ19" s="74">
        <v>24304.35</v>
      </c>
      <c r="AK19" s="31">
        <f t="shared" si="5"/>
        <v>5.1094256600276999E-3</v>
      </c>
      <c r="AP19" s="76">
        <v>45593</v>
      </c>
      <c r="AQ19" s="74">
        <v>339.37</v>
      </c>
      <c r="AR19" s="31">
        <f t="shared" si="6"/>
        <v>-2.6756524232864898E-2</v>
      </c>
      <c r="AT19" s="74">
        <v>24304.35</v>
      </c>
      <c r="AU19" s="31">
        <f t="shared" si="7"/>
        <v>5.1094256600276999E-3</v>
      </c>
      <c r="AZ19" s="76">
        <v>45964</v>
      </c>
      <c r="BA19" s="74">
        <v>606.25</v>
      </c>
      <c r="BB19" s="31">
        <f t="shared" si="8"/>
        <v>-0.14371468926553677</v>
      </c>
      <c r="BD19" s="77">
        <v>25492.3</v>
      </c>
      <c r="BE19" s="31">
        <f t="shared" si="9"/>
        <v>-8.9339517379996014E-3</v>
      </c>
    </row>
    <row r="20" spans="2:57" x14ac:dyDescent="0.2">
      <c r="B20" s="75">
        <v>45600</v>
      </c>
      <c r="C20" s="74">
        <v>3166.3</v>
      </c>
      <c r="D20" s="31">
        <f t="shared" si="0"/>
        <v>-3.2623706111674533E-2</v>
      </c>
      <c r="F20" s="74">
        <v>24148.2</v>
      </c>
      <c r="G20" s="31">
        <f t="shared" si="1"/>
        <v>-6.4247758117372822E-3</v>
      </c>
      <c r="V20" s="76">
        <v>45600</v>
      </c>
      <c r="W20" s="74">
        <v>692.07</v>
      </c>
      <c r="X20" s="31">
        <f t="shared" si="2"/>
        <v>3.4731774415405869E-2</v>
      </c>
      <c r="Z20" s="74">
        <v>24148.2</v>
      </c>
      <c r="AA20" s="31">
        <f t="shared" si="3"/>
        <v>-6.4247758117372822E-3</v>
      </c>
      <c r="AF20" s="76">
        <v>45600</v>
      </c>
      <c r="AG20" s="74">
        <v>1980.84</v>
      </c>
      <c r="AH20" s="31">
        <f t="shared" si="4"/>
        <v>-0.12766763257792613</v>
      </c>
      <c r="AJ20" s="74">
        <v>24148.2</v>
      </c>
      <c r="AK20" s="31">
        <f t="shared" si="5"/>
        <v>-6.4247758117372822E-3</v>
      </c>
      <c r="AP20" s="76">
        <v>45600</v>
      </c>
      <c r="AQ20" s="74">
        <v>334.7</v>
      </c>
      <c r="AR20" s="31">
        <f t="shared" si="6"/>
        <v>-1.3760792055868221E-2</v>
      </c>
      <c r="AT20" s="74">
        <v>24148.2</v>
      </c>
      <c r="AU20" s="31">
        <f t="shared" si="7"/>
        <v>-6.4247758117372822E-3</v>
      </c>
      <c r="AZ20" s="76">
        <v>45971</v>
      </c>
      <c r="BA20" s="74">
        <v>574.75</v>
      </c>
      <c r="BB20" s="31">
        <f t="shared" si="8"/>
        <v>-5.1958762886597953E-2</v>
      </c>
      <c r="BD20" s="77">
        <v>25910.05</v>
      </c>
      <c r="BE20" s="31">
        <f t="shared" si="9"/>
        <v>1.6387301263518728E-2</v>
      </c>
    </row>
    <row r="21" spans="2:57" ht="16" thickBot="1" x14ac:dyDescent="0.25">
      <c r="B21" s="75">
        <v>45607</v>
      </c>
      <c r="C21" s="74">
        <v>3163.77</v>
      </c>
      <c r="D21" s="31">
        <f t="shared" si="0"/>
        <v>-7.9903988882934485E-4</v>
      </c>
      <c r="F21" s="74">
        <v>23532.7</v>
      </c>
      <c r="G21" s="31">
        <f t="shared" si="1"/>
        <v>-2.5488442202731498E-2</v>
      </c>
      <c r="L21" t="s">
        <v>237</v>
      </c>
      <c r="V21" s="76">
        <v>45607</v>
      </c>
      <c r="W21" s="74">
        <v>651.99</v>
      </c>
      <c r="X21" s="31">
        <f t="shared" si="2"/>
        <v>-5.7913216871125828E-2</v>
      </c>
      <c r="Z21" s="74">
        <v>23532.7</v>
      </c>
      <c r="AA21" s="31">
        <f t="shared" si="3"/>
        <v>-2.5488442202731498E-2</v>
      </c>
      <c r="AF21" s="76">
        <v>45607</v>
      </c>
      <c r="AG21" s="74">
        <v>1865.88</v>
      </c>
      <c r="AH21" s="31">
        <f t="shared" si="4"/>
        <v>-5.8035984733749268E-2</v>
      </c>
      <c r="AJ21" s="74">
        <v>23532.7</v>
      </c>
      <c r="AK21" s="31">
        <f t="shared" si="5"/>
        <v>-2.5488442202731498E-2</v>
      </c>
      <c r="AP21" s="76">
        <v>45607</v>
      </c>
      <c r="AQ21" s="74">
        <v>325.70999999999998</v>
      </c>
      <c r="AR21" s="31">
        <f t="shared" si="6"/>
        <v>-2.6859874514490567E-2</v>
      </c>
      <c r="AT21" s="74">
        <v>23532.7</v>
      </c>
      <c r="AU21" s="31">
        <f t="shared" si="7"/>
        <v>-2.5488442202731498E-2</v>
      </c>
      <c r="AZ21" s="76">
        <v>45978</v>
      </c>
      <c r="BA21" s="74">
        <v>570.95000000000005</v>
      </c>
      <c r="BB21" s="31">
        <f t="shared" si="8"/>
        <v>-6.6115702479337957E-3</v>
      </c>
      <c r="BD21" s="77">
        <v>26068.15</v>
      </c>
      <c r="BE21" s="31">
        <f t="shared" si="9"/>
        <v>6.1018793865701415E-3</v>
      </c>
    </row>
    <row r="22" spans="2:57" x14ac:dyDescent="0.2">
      <c r="B22" s="75">
        <v>45614</v>
      </c>
      <c r="C22" s="74">
        <v>3287.98</v>
      </c>
      <c r="D22" s="31">
        <f t="shared" si="0"/>
        <v>3.9260123207439213E-2</v>
      </c>
      <c r="F22" s="74">
        <v>23907.25</v>
      </c>
      <c r="G22" s="31">
        <f t="shared" si="1"/>
        <v>1.5916150717937061E-2</v>
      </c>
      <c r="L22" s="80"/>
      <c r="M22" s="80" t="s">
        <v>236</v>
      </c>
      <c r="N22" s="80" t="s">
        <v>235</v>
      </c>
      <c r="O22" s="80" t="s">
        <v>234</v>
      </c>
      <c r="P22" s="80" t="s">
        <v>233</v>
      </c>
      <c r="Q22" s="80" t="s">
        <v>232</v>
      </c>
      <c r="V22" s="76">
        <v>45614</v>
      </c>
      <c r="W22" s="74">
        <v>704.39</v>
      </c>
      <c r="X22" s="31">
        <f t="shared" si="2"/>
        <v>8.0369330817957385E-2</v>
      </c>
      <c r="Z22" s="74">
        <v>23907.25</v>
      </c>
      <c r="AA22" s="31">
        <f t="shared" si="3"/>
        <v>1.5916150717937061E-2</v>
      </c>
      <c r="AF22" s="76">
        <v>45614</v>
      </c>
      <c r="AG22" s="74">
        <v>1974.55</v>
      </c>
      <c r="AH22" s="31">
        <f t="shared" si="4"/>
        <v>5.8240615688039954E-2</v>
      </c>
      <c r="AJ22" s="74">
        <v>23907.25</v>
      </c>
      <c r="AK22" s="31">
        <f t="shared" si="5"/>
        <v>1.5916150717937061E-2</v>
      </c>
      <c r="AP22" s="76">
        <v>45614</v>
      </c>
      <c r="AQ22" s="74">
        <v>395.86</v>
      </c>
      <c r="AR22" s="31">
        <f t="shared" si="6"/>
        <v>0.21537564090755601</v>
      </c>
      <c r="AT22" s="74">
        <v>23907.25</v>
      </c>
      <c r="AU22" s="31">
        <f t="shared" si="7"/>
        <v>1.5916150717937061E-2</v>
      </c>
      <c r="AZ22" s="76">
        <v>45985</v>
      </c>
      <c r="BA22" s="74">
        <v>558.1</v>
      </c>
      <c r="BB22" s="31">
        <f t="shared" si="8"/>
        <v>-2.2506349067343945E-2</v>
      </c>
      <c r="BD22" s="77">
        <v>26202.95</v>
      </c>
      <c r="BE22" s="31">
        <f t="shared" si="9"/>
        <v>5.1710612375637233E-3</v>
      </c>
    </row>
    <row r="23" spans="2:57" x14ac:dyDescent="0.2">
      <c r="B23" s="75">
        <v>45621</v>
      </c>
      <c r="C23" s="74">
        <v>3228.66</v>
      </c>
      <c r="D23" s="31">
        <f t="shared" si="0"/>
        <v>-1.8041472271729142E-2</v>
      </c>
      <c r="F23" s="74">
        <v>24131.1</v>
      </c>
      <c r="G23" s="31">
        <f t="shared" si="1"/>
        <v>9.3632684645870157E-3</v>
      </c>
      <c r="L23" t="s">
        <v>231</v>
      </c>
      <c r="M23">
        <v>1</v>
      </c>
      <c r="N23">
        <v>3.4002280800794704E-2</v>
      </c>
      <c r="O23">
        <v>3.4002280800794704E-2</v>
      </c>
      <c r="P23">
        <v>48.979295983518092</v>
      </c>
      <c r="Q23">
        <v>2.6993820323042375E-10</v>
      </c>
      <c r="V23" s="76">
        <v>45621</v>
      </c>
      <c r="W23" s="74">
        <v>722.34</v>
      </c>
      <c r="X23" s="31">
        <f t="shared" si="2"/>
        <v>2.5483042064765371E-2</v>
      </c>
      <c r="Z23" s="74">
        <v>24131.1</v>
      </c>
      <c r="AA23" s="31">
        <f t="shared" si="3"/>
        <v>9.3632684645870157E-3</v>
      </c>
      <c r="AF23" s="76">
        <v>45621</v>
      </c>
      <c r="AG23" s="74">
        <v>1962.91</v>
      </c>
      <c r="AH23" s="31">
        <f t="shared" si="4"/>
        <v>-5.8950140538349682E-3</v>
      </c>
      <c r="AJ23" s="74">
        <v>24131.1</v>
      </c>
      <c r="AK23" s="31">
        <f t="shared" si="5"/>
        <v>9.3632684645870157E-3</v>
      </c>
      <c r="AP23" s="76">
        <v>45621</v>
      </c>
      <c r="AQ23" s="74">
        <v>385.45</v>
      </c>
      <c r="AR23" s="31">
        <f t="shared" si="6"/>
        <v>-2.6297175769211423E-2</v>
      </c>
      <c r="AT23" s="74">
        <v>24131.1</v>
      </c>
      <c r="AU23" s="31">
        <f t="shared" si="7"/>
        <v>9.3632684645870157E-3</v>
      </c>
      <c r="AZ23" s="76">
        <v>45992</v>
      </c>
      <c r="BA23" s="74">
        <v>527.9</v>
      </c>
      <c r="BB23" s="31">
        <f t="shared" si="8"/>
        <v>-5.411216627844484E-2</v>
      </c>
      <c r="BD23" s="77">
        <v>26186.45</v>
      </c>
      <c r="BE23" s="31">
        <f t="shared" si="9"/>
        <v>-6.297000910202577E-4</v>
      </c>
    </row>
    <row r="24" spans="2:57" x14ac:dyDescent="0.2">
      <c r="B24" s="75">
        <v>45628</v>
      </c>
      <c r="C24" s="74">
        <v>3448.37</v>
      </c>
      <c r="D24" s="31">
        <f t="shared" si="0"/>
        <v>6.8049903055756866E-2</v>
      </c>
      <c r="F24" s="74">
        <v>24677.8</v>
      </c>
      <c r="G24" s="31">
        <f t="shared" si="1"/>
        <v>2.2655411481449228E-2</v>
      </c>
      <c r="L24" t="s">
        <v>230</v>
      </c>
      <c r="M24">
        <v>103</v>
      </c>
      <c r="N24">
        <v>7.1504394911278094E-2</v>
      </c>
      <c r="O24">
        <v>6.9421742632308828E-4</v>
      </c>
      <c r="V24" s="76">
        <v>45628</v>
      </c>
      <c r="W24" s="74">
        <v>728.37</v>
      </c>
      <c r="X24" s="31">
        <f t="shared" si="2"/>
        <v>8.347869424370824E-3</v>
      </c>
      <c r="Z24" s="74">
        <v>24677.8</v>
      </c>
      <c r="AA24" s="31">
        <f t="shared" si="3"/>
        <v>2.2655411481449228E-2</v>
      </c>
      <c r="AF24" s="76">
        <v>45628</v>
      </c>
      <c r="AG24" s="74">
        <v>2109.9699999999998</v>
      </c>
      <c r="AH24" s="31">
        <f t="shared" si="4"/>
        <v>7.4919379900249883E-2</v>
      </c>
      <c r="AJ24" s="74">
        <v>24677.8</v>
      </c>
      <c r="AK24" s="31">
        <f t="shared" si="5"/>
        <v>2.2655411481449228E-2</v>
      </c>
      <c r="AP24" s="76">
        <v>45628</v>
      </c>
      <c r="AQ24" s="74">
        <v>412.67</v>
      </c>
      <c r="AR24" s="31">
        <f t="shared" si="6"/>
        <v>7.0618757296666335E-2</v>
      </c>
      <c r="AT24" s="74">
        <v>24677.8</v>
      </c>
      <c r="AU24" s="31">
        <f t="shared" si="7"/>
        <v>2.2655411481449228E-2</v>
      </c>
      <c r="AZ24" s="76">
        <v>45999</v>
      </c>
      <c r="BA24" s="74">
        <v>527.45000000000005</v>
      </c>
      <c r="BB24" s="31">
        <f t="shared" si="8"/>
        <v>-8.5243417313873859E-4</v>
      </c>
      <c r="BD24" s="77">
        <v>26046.95</v>
      </c>
      <c r="BE24" s="31">
        <f t="shared" si="9"/>
        <v>-5.3271825696113995E-3</v>
      </c>
    </row>
    <row r="25" spans="2:57" ht="16" thickBot="1" x14ac:dyDescent="0.25">
      <c r="B25" s="75">
        <v>45635</v>
      </c>
      <c r="C25" s="74">
        <v>3486.88</v>
      </c>
      <c r="D25" s="31">
        <f t="shared" si="0"/>
        <v>1.1167595124653262E-2</v>
      </c>
      <c r="F25" s="74">
        <v>24768.3</v>
      </c>
      <c r="G25" s="31">
        <f t="shared" si="1"/>
        <v>3.6672636944945491E-3</v>
      </c>
      <c r="L25" s="78" t="s">
        <v>229</v>
      </c>
      <c r="M25" s="78">
        <v>104</v>
      </c>
      <c r="N25" s="78">
        <v>0.1055066757120728</v>
      </c>
      <c r="O25" s="78"/>
      <c r="P25" s="78"/>
      <c r="Q25" s="78"/>
      <c r="V25" s="76">
        <v>45635</v>
      </c>
      <c r="W25" s="74">
        <v>744.92</v>
      </c>
      <c r="X25" s="31">
        <f t="shared" si="2"/>
        <v>2.2721968230432266E-2</v>
      </c>
      <c r="Z25" s="74">
        <v>24768.3</v>
      </c>
      <c r="AA25" s="31">
        <f t="shared" si="3"/>
        <v>3.6672636944945491E-3</v>
      </c>
      <c r="AF25" s="76">
        <v>45635</v>
      </c>
      <c r="AG25" s="74">
        <v>2069.4499999999998</v>
      </c>
      <c r="AH25" s="31">
        <f t="shared" si="4"/>
        <v>-1.9204064512765573E-2</v>
      </c>
      <c r="AJ25" s="74">
        <v>24768.3</v>
      </c>
      <c r="AK25" s="31">
        <f t="shared" si="5"/>
        <v>3.6672636944945491E-3</v>
      </c>
      <c r="AP25" s="76">
        <v>45635</v>
      </c>
      <c r="AQ25" s="74">
        <v>443.14</v>
      </c>
      <c r="AR25" s="31">
        <f t="shared" si="6"/>
        <v>7.3836237187098641E-2</v>
      </c>
      <c r="AT25" s="74">
        <v>24768.3</v>
      </c>
      <c r="AU25" s="31">
        <f t="shared" si="7"/>
        <v>3.6672636944945491E-3</v>
      </c>
      <c r="AZ25" s="76">
        <v>46006</v>
      </c>
      <c r="BA25" s="74">
        <v>510.3</v>
      </c>
      <c r="BB25" s="31">
        <f t="shared" si="8"/>
        <v>-3.2514930325149405E-2</v>
      </c>
      <c r="BD25" s="77">
        <v>25966.400000000001</v>
      </c>
      <c r="BE25" s="31">
        <f t="shared" si="9"/>
        <v>-3.0924925951022475E-3</v>
      </c>
    </row>
    <row r="26" spans="2:57" ht="16" thickBot="1" x14ac:dyDescent="0.25">
      <c r="B26" s="75">
        <v>45642</v>
      </c>
      <c r="C26" s="74">
        <v>3335.24</v>
      </c>
      <c r="D26" s="31">
        <f t="shared" si="0"/>
        <v>-4.3488734914881033E-2</v>
      </c>
      <c r="F26" s="74">
        <v>23587.5</v>
      </c>
      <c r="G26" s="31">
        <f t="shared" si="1"/>
        <v>-4.7673841159869612E-2</v>
      </c>
      <c r="V26" s="76">
        <v>45642</v>
      </c>
      <c r="W26" s="74">
        <v>717.1</v>
      </c>
      <c r="X26" s="31">
        <f t="shared" si="2"/>
        <v>-3.7346292219298638E-2</v>
      </c>
      <c r="Z26" s="74">
        <v>23587.5</v>
      </c>
      <c r="AA26" s="31">
        <f t="shared" si="3"/>
        <v>-4.7673841159869612E-2</v>
      </c>
      <c r="AF26" s="76">
        <v>45642</v>
      </c>
      <c r="AG26" s="74">
        <v>1991.79</v>
      </c>
      <c r="AH26" s="31">
        <f t="shared" si="4"/>
        <v>-3.7526879122472101E-2</v>
      </c>
      <c r="AJ26" s="74">
        <v>23587.5</v>
      </c>
      <c r="AK26" s="31">
        <f t="shared" si="5"/>
        <v>-4.7673841159869612E-2</v>
      </c>
      <c r="AP26" s="76">
        <v>45642</v>
      </c>
      <c r="AQ26" s="74">
        <v>418.9</v>
      </c>
      <c r="AR26" s="31">
        <f t="shared" si="6"/>
        <v>-5.470054610281172E-2</v>
      </c>
      <c r="AT26" s="74">
        <v>23587.5</v>
      </c>
      <c r="AU26" s="31">
        <f t="shared" si="7"/>
        <v>-4.7673841159869612E-2</v>
      </c>
      <c r="AZ26" s="76">
        <v>46013</v>
      </c>
      <c r="BA26" s="74">
        <v>493.3</v>
      </c>
      <c r="BB26" s="31">
        <f t="shared" si="8"/>
        <v>-3.331373701744067E-2</v>
      </c>
      <c r="BD26" s="77">
        <v>26042.3</v>
      </c>
      <c r="BE26" s="31">
        <f t="shared" si="9"/>
        <v>2.9230081952060782E-3</v>
      </c>
    </row>
    <row r="27" spans="2:57" x14ac:dyDescent="0.2">
      <c r="B27" s="75">
        <v>45649</v>
      </c>
      <c r="C27" s="74">
        <v>3288.48</v>
      </c>
      <c r="D27" s="31">
        <f t="shared" si="0"/>
        <v>-1.40199805711132E-2</v>
      </c>
      <c r="F27" s="74">
        <v>23813.4</v>
      </c>
      <c r="G27" s="31">
        <f t="shared" si="1"/>
        <v>9.5771065182830295E-3</v>
      </c>
      <c r="L27" s="80"/>
      <c r="M27" s="80" t="s">
        <v>228</v>
      </c>
      <c r="N27" s="80" t="s">
        <v>227</v>
      </c>
      <c r="O27" s="80" t="s">
        <v>226</v>
      </c>
      <c r="P27" s="80" t="s">
        <v>225</v>
      </c>
      <c r="Q27" s="80" t="s">
        <v>224</v>
      </c>
      <c r="R27" s="80" t="s">
        <v>223</v>
      </c>
      <c r="S27" s="80" t="s">
        <v>222</v>
      </c>
      <c r="T27" s="80" t="s">
        <v>221</v>
      </c>
      <c r="V27" s="76">
        <v>45649</v>
      </c>
      <c r="W27" s="74">
        <v>719.54</v>
      </c>
      <c r="X27" s="31">
        <f t="shared" si="2"/>
        <v>3.4025937805046702E-3</v>
      </c>
      <c r="Z27" s="74">
        <v>23813.4</v>
      </c>
      <c r="AA27" s="31">
        <f t="shared" si="3"/>
        <v>9.5771065182830295E-3</v>
      </c>
      <c r="AF27" s="76">
        <v>45649</v>
      </c>
      <c r="AG27" s="74">
        <v>1933.19</v>
      </c>
      <c r="AH27" s="31">
        <f t="shared" si="4"/>
        <v>-2.9420772270169038E-2</v>
      </c>
      <c r="AJ27" s="74">
        <v>23813.4</v>
      </c>
      <c r="AK27" s="31">
        <f t="shared" si="5"/>
        <v>9.5771065182830295E-3</v>
      </c>
      <c r="AP27" s="76">
        <v>45649</v>
      </c>
      <c r="AQ27" s="74">
        <v>412.5</v>
      </c>
      <c r="AR27" s="31">
        <f t="shared" si="6"/>
        <v>-1.5278109333969891E-2</v>
      </c>
      <c r="AT27" s="74">
        <v>23813.4</v>
      </c>
      <c r="AU27" s="31">
        <f t="shared" si="7"/>
        <v>9.5771065182830295E-3</v>
      </c>
      <c r="AZ27" s="76">
        <v>46020</v>
      </c>
      <c r="BA27" s="74">
        <v>500.75</v>
      </c>
      <c r="BB27" s="31">
        <f t="shared" si="8"/>
        <v>1.5102371781877233E-2</v>
      </c>
      <c r="BD27" s="77">
        <v>26328.55</v>
      </c>
      <c r="BE27" s="31">
        <f t="shared" si="9"/>
        <v>1.0991732681061128E-2</v>
      </c>
    </row>
    <row r="28" spans="2:57" x14ac:dyDescent="0.2">
      <c r="B28" s="75">
        <v>45656</v>
      </c>
      <c r="C28" s="74">
        <v>3430.04</v>
      </c>
      <c r="D28" s="31">
        <f t="shared" si="0"/>
        <v>4.3047243711380245E-2</v>
      </c>
      <c r="F28" s="74">
        <v>24004.75</v>
      </c>
      <c r="G28" s="31">
        <f t="shared" si="1"/>
        <v>8.035391838208783E-3</v>
      </c>
      <c r="L28" t="s">
        <v>220</v>
      </c>
      <c r="M28">
        <v>4.1788451645162561E-3</v>
      </c>
      <c r="N28">
        <v>2.5713650249201787E-3</v>
      </c>
      <c r="O28">
        <v>1.6251466143535873</v>
      </c>
      <c r="P28">
        <v>0.107187466839841</v>
      </c>
      <c r="Q28">
        <v>-9.2085089253244993E-4</v>
      </c>
      <c r="R28">
        <v>9.2785412215649621E-3</v>
      </c>
      <c r="S28">
        <v>-9.2085089253244993E-4</v>
      </c>
      <c r="T28">
        <v>9.2785412215649621E-3</v>
      </c>
      <c r="V28" s="76">
        <v>45656</v>
      </c>
      <c r="W28" s="74">
        <v>775.53</v>
      </c>
      <c r="X28" s="31">
        <f t="shared" si="2"/>
        <v>7.7813603135336473E-2</v>
      </c>
      <c r="Z28" s="74">
        <v>24004.75</v>
      </c>
      <c r="AA28" s="31">
        <f t="shared" si="3"/>
        <v>8.035391838208783E-3</v>
      </c>
      <c r="AF28" s="76">
        <v>45656</v>
      </c>
      <c r="AG28" s="74">
        <v>2000.26</v>
      </c>
      <c r="AH28" s="31">
        <f t="shared" si="4"/>
        <v>3.4693951448124594E-2</v>
      </c>
      <c r="AJ28" s="74">
        <v>24004.75</v>
      </c>
      <c r="AK28" s="31">
        <f t="shared" si="5"/>
        <v>8.035391838208783E-3</v>
      </c>
      <c r="AP28" s="76">
        <v>45656</v>
      </c>
      <c r="AQ28" s="74">
        <v>390.3</v>
      </c>
      <c r="AR28" s="31">
        <f t="shared" si="6"/>
        <v>-5.3818181818181765E-2</v>
      </c>
      <c r="AT28" s="74">
        <v>24004.75</v>
      </c>
      <c r="AU28" s="31">
        <f t="shared" si="7"/>
        <v>8.035391838208783E-3</v>
      </c>
      <c r="AZ28" s="76">
        <v>46027</v>
      </c>
      <c r="BA28" s="74">
        <v>488.45</v>
      </c>
      <c r="BB28" s="31">
        <f t="shared" si="8"/>
        <v>-2.4563155267099401E-2</v>
      </c>
      <c r="BD28" s="77">
        <v>25683.3</v>
      </c>
      <c r="BE28" s="31">
        <f t="shared" si="9"/>
        <v>-2.4507616256877029E-2</v>
      </c>
    </row>
    <row r="29" spans="2:57" ht="16" thickBot="1" x14ac:dyDescent="0.25">
      <c r="B29" s="75">
        <v>45663</v>
      </c>
      <c r="C29" s="74">
        <v>3418.71</v>
      </c>
      <c r="D29" s="31">
        <f t="shared" si="0"/>
        <v>-3.3031684761694047E-3</v>
      </c>
      <c r="F29" s="74">
        <v>23431.5</v>
      </c>
      <c r="G29" s="31">
        <f t="shared" si="1"/>
        <v>-2.3880690280048689E-2</v>
      </c>
      <c r="L29" s="78" t="s">
        <v>219</v>
      </c>
      <c r="M29" s="79">
        <v>0.97667834526784536</v>
      </c>
      <c r="N29" s="78">
        <v>0.1395549641561441</v>
      </c>
      <c r="O29" s="78">
        <v>6.9985209854309991</v>
      </c>
      <c r="P29" s="78">
        <v>2.6993820323042375E-10</v>
      </c>
      <c r="Q29" s="78">
        <v>0.69990398863181935</v>
      </c>
      <c r="R29" s="78">
        <v>1.2534527019038715</v>
      </c>
      <c r="S29" s="78">
        <v>0.69990398863181935</v>
      </c>
      <c r="T29" s="78">
        <v>1.2534527019038715</v>
      </c>
      <c r="V29" s="76">
        <v>45663</v>
      </c>
      <c r="W29" s="74">
        <v>624.91999999999996</v>
      </c>
      <c r="X29" s="31">
        <f t="shared" si="2"/>
        <v>-0.19420267430015603</v>
      </c>
      <c r="Z29" s="74">
        <v>23431.5</v>
      </c>
      <c r="AA29" s="31">
        <f t="shared" si="3"/>
        <v>-2.3880690280048689E-2</v>
      </c>
      <c r="AF29" s="76">
        <v>45663</v>
      </c>
      <c r="AG29" s="74">
        <v>1883.41</v>
      </c>
      <c r="AH29" s="31">
        <f t="shared" si="4"/>
        <v>-5.8417405737254069E-2</v>
      </c>
      <c r="AJ29" s="74">
        <v>23431.5</v>
      </c>
      <c r="AK29" s="31">
        <f t="shared" si="5"/>
        <v>-2.3880690280048689E-2</v>
      </c>
      <c r="AP29" s="76">
        <v>45663</v>
      </c>
      <c r="AQ29" s="74">
        <v>366.6</v>
      </c>
      <c r="AR29" s="31">
        <f t="shared" si="6"/>
        <v>-6.0722521137586472E-2</v>
      </c>
      <c r="AT29" s="74">
        <v>23431.5</v>
      </c>
      <c r="AU29" s="31">
        <f t="shared" si="7"/>
        <v>-2.3880690280048689E-2</v>
      </c>
      <c r="AZ29" s="76">
        <v>46034</v>
      </c>
      <c r="BA29" s="74">
        <v>454.3</v>
      </c>
      <c r="BB29" s="31">
        <f t="shared" si="8"/>
        <v>-6.991503736308724E-2</v>
      </c>
      <c r="BD29" s="77">
        <v>25694.35</v>
      </c>
      <c r="BE29" s="31">
        <f t="shared" si="9"/>
        <v>4.3024066222008273E-4</v>
      </c>
    </row>
    <row r="30" spans="2:57" x14ac:dyDescent="0.2">
      <c r="B30" s="75">
        <v>45670</v>
      </c>
      <c r="C30" s="74">
        <v>3336.38</v>
      </c>
      <c r="D30" s="31">
        <f t="shared" si="0"/>
        <v>-2.4082183045651684E-2</v>
      </c>
      <c r="F30" s="74">
        <v>23203.200000000001</v>
      </c>
      <c r="G30" s="31">
        <f t="shared" si="1"/>
        <v>-9.7432942833365344E-3</v>
      </c>
      <c r="V30" s="76">
        <v>45670</v>
      </c>
      <c r="W30" s="74">
        <v>500.04</v>
      </c>
      <c r="X30" s="31">
        <f t="shared" si="2"/>
        <v>-0.19983357869807328</v>
      </c>
      <c r="Z30" s="74">
        <v>23203.200000000001</v>
      </c>
      <c r="AA30" s="31">
        <f t="shared" si="3"/>
        <v>-9.7432942833365344E-3</v>
      </c>
      <c r="AF30" s="76">
        <v>45670</v>
      </c>
      <c r="AG30" s="74">
        <v>1759.83</v>
      </c>
      <c r="AH30" s="31">
        <f t="shared" si="4"/>
        <v>-6.5615028060804659E-2</v>
      </c>
      <c r="AJ30" s="74">
        <v>23203.200000000001</v>
      </c>
      <c r="AK30" s="31">
        <f t="shared" si="5"/>
        <v>-9.7432942833365344E-3</v>
      </c>
      <c r="AP30" s="76">
        <v>45670</v>
      </c>
      <c r="AQ30" s="74">
        <v>367.25</v>
      </c>
      <c r="AR30" s="31">
        <f t="shared" si="6"/>
        <v>1.7730496453900457E-3</v>
      </c>
      <c r="AT30" s="74">
        <v>23203.200000000001</v>
      </c>
      <c r="AU30" s="31">
        <f t="shared" si="7"/>
        <v>-9.7432942833365344E-3</v>
      </c>
      <c r="AZ30" s="76">
        <v>46041</v>
      </c>
      <c r="BA30" s="74">
        <v>456.9</v>
      </c>
      <c r="BB30" s="31">
        <f t="shared" si="8"/>
        <v>5.7230904688529982E-3</v>
      </c>
      <c r="BD30" s="77">
        <v>25048.65</v>
      </c>
      <c r="BE30" s="31">
        <f t="shared" si="9"/>
        <v>-2.5130038315816394E-2</v>
      </c>
    </row>
    <row r="31" spans="2:57" x14ac:dyDescent="0.2">
      <c r="B31" s="75">
        <v>45677</v>
      </c>
      <c r="C31" s="74">
        <v>3380.85</v>
      </c>
      <c r="D31" s="31">
        <f t="shared" si="0"/>
        <v>1.3328817460840803E-2</v>
      </c>
      <c r="F31" s="74">
        <v>23092.2</v>
      </c>
      <c r="G31" s="31">
        <f t="shared" si="1"/>
        <v>-4.7838229209764549E-3</v>
      </c>
      <c r="V31" s="76">
        <v>45677</v>
      </c>
      <c r="W31" s="74">
        <v>457.41</v>
      </c>
      <c r="X31" s="31">
        <f t="shared" si="2"/>
        <v>-8.52531797456203E-2</v>
      </c>
      <c r="Z31" s="74">
        <v>23092.2</v>
      </c>
      <c r="AA31" s="31">
        <f t="shared" si="3"/>
        <v>-4.7838229209764549E-3</v>
      </c>
      <c r="AF31" s="76">
        <v>45677</v>
      </c>
      <c r="AG31" s="74">
        <v>1684.25</v>
      </c>
      <c r="AH31" s="31">
        <f t="shared" si="4"/>
        <v>-4.2947330139842976E-2</v>
      </c>
      <c r="AJ31" s="74">
        <v>23092.2</v>
      </c>
      <c r="AK31" s="31">
        <f t="shared" si="5"/>
        <v>-4.7838229209764549E-3</v>
      </c>
      <c r="AP31" s="76">
        <v>45677</v>
      </c>
      <c r="AQ31" s="74">
        <v>336.3</v>
      </c>
      <c r="AR31" s="31">
        <f t="shared" si="6"/>
        <v>-8.4275017018379805E-2</v>
      </c>
      <c r="AT31" s="74">
        <v>23092.2</v>
      </c>
      <c r="AU31" s="31">
        <f t="shared" si="7"/>
        <v>-4.7838229209764549E-3</v>
      </c>
      <c r="AZ31" s="76">
        <v>46048</v>
      </c>
      <c r="BA31" s="74">
        <v>426.7</v>
      </c>
      <c r="BB31" s="31">
        <f t="shared" si="8"/>
        <v>-6.609761435762751E-2</v>
      </c>
      <c r="BD31" s="77">
        <v>24825.45</v>
      </c>
      <c r="BE31" s="31">
        <f t="shared" si="9"/>
        <v>-8.9106598559204331E-3</v>
      </c>
    </row>
    <row r="32" spans="2:57" x14ac:dyDescent="0.2">
      <c r="B32" s="75">
        <v>45684</v>
      </c>
      <c r="C32" s="74">
        <v>3529.76</v>
      </c>
      <c r="D32" s="31">
        <f t="shared" si="0"/>
        <v>4.4045136578079624E-2</v>
      </c>
      <c r="F32" s="74">
        <v>23482.15</v>
      </c>
      <c r="G32" s="31">
        <f t="shared" si="1"/>
        <v>1.6886654368141629E-2</v>
      </c>
      <c r="V32" s="76">
        <v>45684</v>
      </c>
      <c r="W32" s="74">
        <v>503.98</v>
      </c>
      <c r="X32" s="31">
        <f t="shared" si="2"/>
        <v>0.10181237839137758</v>
      </c>
      <c r="Z32" s="74">
        <v>23482.15</v>
      </c>
      <c r="AA32" s="31">
        <f t="shared" si="3"/>
        <v>1.6886654368141629E-2</v>
      </c>
      <c r="AF32" s="76">
        <v>45684</v>
      </c>
      <c r="AG32" s="74">
        <v>1746.54</v>
      </c>
      <c r="AH32" s="31">
        <f t="shared" si="4"/>
        <v>3.6983820691702585E-2</v>
      </c>
      <c r="AJ32" s="74">
        <v>23482.15</v>
      </c>
      <c r="AK32" s="31">
        <f t="shared" si="5"/>
        <v>1.6886654368141629E-2</v>
      </c>
      <c r="AP32" s="76">
        <v>45684</v>
      </c>
      <c r="AQ32" s="74">
        <v>331.5</v>
      </c>
      <c r="AR32" s="31">
        <f t="shared" si="6"/>
        <v>-1.4272970561998277E-2</v>
      </c>
      <c r="AT32" s="74">
        <v>23482.15</v>
      </c>
      <c r="AU32" s="31">
        <f t="shared" si="7"/>
        <v>1.6886654368141629E-2</v>
      </c>
      <c r="AZ32" s="76">
        <v>46055</v>
      </c>
      <c r="BA32" s="74">
        <v>427.6</v>
      </c>
      <c r="BB32" s="31">
        <f t="shared" si="8"/>
        <v>2.1092102179518513E-3</v>
      </c>
      <c r="BD32" s="77">
        <v>25693.7</v>
      </c>
      <c r="BE32" s="31">
        <f t="shared" si="9"/>
        <v>3.4974189793135713E-2</v>
      </c>
    </row>
    <row r="33" spans="2:57" x14ac:dyDescent="0.2">
      <c r="B33" s="75">
        <v>45691</v>
      </c>
      <c r="C33" s="74">
        <v>3403.36</v>
      </c>
      <c r="D33" s="31">
        <f t="shared" si="0"/>
        <v>-3.5809800099723565E-2</v>
      </c>
      <c r="F33" s="74">
        <v>23559.95</v>
      </c>
      <c r="G33" s="31">
        <f t="shared" si="1"/>
        <v>3.3131548857323612E-3</v>
      </c>
      <c r="V33" s="76">
        <v>45691</v>
      </c>
      <c r="W33" s="74">
        <v>537.83000000000004</v>
      </c>
      <c r="X33" s="31">
        <f t="shared" si="2"/>
        <v>6.7165363704908998E-2</v>
      </c>
      <c r="Z33" s="74">
        <v>23559.95</v>
      </c>
      <c r="AA33" s="31">
        <f t="shared" si="3"/>
        <v>3.3131548857323612E-3</v>
      </c>
      <c r="AF33" s="76">
        <v>45691</v>
      </c>
      <c r="AG33" s="74">
        <v>1799.95</v>
      </c>
      <c r="AH33" s="31">
        <f t="shared" si="4"/>
        <v>3.0580461941896564E-2</v>
      </c>
      <c r="AJ33" s="74">
        <v>23559.95</v>
      </c>
      <c r="AK33" s="31">
        <f t="shared" si="5"/>
        <v>3.3131548857323612E-3</v>
      </c>
      <c r="AP33" s="76">
        <v>45691</v>
      </c>
      <c r="AQ33" s="74">
        <v>378</v>
      </c>
      <c r="AR33" s="31">
        <f t="shared" si="6"/>
        <v>0.14027149321266963</v>
      </c>
      <c r="AT33" s="74">
        <v>23559.95</v>
      </c>
      <c r="AU33" s="31">
        <f t="shared" si="7"/>
        <v>3.3131548857323612E-3</v>
      </c>
      <c r="AZ33" s="76">
        <v>46062</v>
      </c>
      <c r="BA33" s="74">
        <v>436.75</v>
      </c>
      <c r="BB33" s="31">
        <f t="shared" si="8"/>
        <v>2.1398503274087988E-2</v>
      </c>
      <c r="BD33" s="77">
        <v>25471.1</v>
      </c>
      <c r="BE33" s="31">
        <f t="shared" si="9"/>
        <v>-8.6636023616685209E-3</v>
      </c>
    </row>
    <row r="34" spans="2:57" x14ac:dyDescent="0.2">
      <c r="B34" s="75">
        <v>45698</v>
      </c>
      <c r="C34" s="74">
        <v>3193.13</v>
      </c>
      <c r="D34" s="31">
        <f t="shared" si="0"/>
        <v>-6.1771308354097165E-2</v>
      </c>
      <c r="F34" s="74">
        <v>22929.25</v>
      </c>
      <c r="G34" s="31">
        <f t="shared" si="1"/>
        <v>-2.6770005878620329E-2</v>
      </c>
      <c r="V34" s="76">
        <v>45698</v>
      </c>
      <c r="W34" s="74">
        <v>486.97</v>
      </c>
      <c r="X34" s="31">
        <f t="shared" si="2"/>
        <v>-9.4565197181265437E-2</v>
      </c>
      <c r="Z34" s="74">
        <v>22929.25</v>
      </c>
      <c r="AA34" s="31">
        <f t="shared" si="3"/>
        <v>-2.6770005878620329E-2</v>
      </c>
      <c r="AF34" s="76">
        <v>45698</v>
      </c>
      <c r="AG34" s="74">
        <v>1771.92</v>
      </c>
      <c r="AH34" s="31">
        <f t="shared" si="4"/>
        <v>-1.557265479596659E-2</v>
      </c>
      <c r="AJ34" s="74">
        <v>22929.25</v>
      </c>
      <c r="AK34" s="31">
        <f t="shared" si="5"/>
        <v>-2.6770005878620329E-2</v>
      </c>
      <c r="AP34" s="76">
        <v>45698</v>
      </c>
      <c r="AQ34" s="74">
        <v>366.75</v>
      </c>
      <c r="AR34" s="31">
        <f t="shared" si="6"/>
        <v>-2.9761904761904767E-2</v>
      </c>
      <c r="AT34" s="74">
        <v>22929.25</v>
      </c>
      <c r="AU34" s="31">
        <f t="shared" si="7"/>
        <v>-2.6770005878620329E-2</v>
      </c>
      <c r="AZ34" s="76">
        <v>46069</v>
      </c>
      <c r="BA34" s="74">
        <v>410.6</v>
      </c>
      <c r="BB34" s="31">
        <f t="shared" si="8"/>
        <v>-5.987406983400112E-2</v>
      </c>
      <c r="BD34" s="77">
        <v>25571.25</v>
      </c>
      <c r="BE34" s="31">
        <f t="shared" si="9"/>
        <v>3.9319071418195684E-3</v>
      </c>
    </row>
    <row r="35" spans="2:57" x14ac:dyDescent="0.2">
      <c r="B35" s="75">
        <v>45705</v>
      </c>
      <c r="C35" s="74">
        <v>3159.99</v>
      </c>
      <c r="D35" s="31">
        <f t="shared" si="0"/>
        <v>-1.0378531409620084E-2</v>
      </c>
      <c r="F35" s="74">
        <v>22795.9</v>
      </c>
      <c r="G35" s="31">
        <f t="shared" si="1"/>
        <v>-5.8157157342695331E-3</v>
      </c>
      <c r="V35" s="76">
        <v>45705</v>
      </c>
      <c r="W35" s="74">
        <v>483.83</v>
      </c>
      <c r="X35" s="31">
        <f t="shared" si="2"/>
        <v>-6.4480358132945614E-3</v>
      </c>
      <c r="Z35" s="74">
        <v>22795.9</v>
      </c>
      <c r="AA35" s="31">
        <f t="shared" si="3"/>
        <v>-5.8157157342695331E-3</v>
      </c>
      <c r="AF35" s="76">
        <v>45705</v>
      </c>
      <c r="AG35" s="74">
        <v>1641.5</v>
      </c>
      <c r="AH35" s="31">
        <f t="shared" si="4"/>
        <v>-7.3603774436769243E-2</v>
      </c>
      <c r="AJ35" s="74">
        <v>22795.9</v>
      </c>
      <c r="AK35" s="31">
        <f t="shared" si="5"/>
        <v>-5.8157157342695331E-3</v>
      </c>
      <c r="AP35" s="76">
        <v>45705</v>
      </c>
      <c r="AQ35" s="74">
        <v>345.3</v>
      </c>
      <c r="AR35" s="31">
        <f t="shared" si="6"/>
        <v>-5.8486707566462126E-2</v>
      </c>
      <c r="AT35" s="74">
        <v>22795.9</v>
      </c>
      <c r="AU35" s="31">
        <f t="shared" si="7"/>
        <v>-5.8157157342695331E-3</v>
      </c>
      <c r="AZ35" s="76">
        <v>46076</v>
      </c>
      <c r="BA35" s="74">
        <v>437.45</v>
      </c>
      <c r="BB35" s="31">
        <f t="shared" si="8"/>
        <v>6.5392109108621366E-2</v>
      </c>
      <c r="BD35" s="77">
        <v>25178.65</v>
      </c>
      <c r="BE35" s="31">
        <f t="shared" si="9"/>
        <v>-1.5353179840641329E-2</v>
      </c>
    </row>
    <row r="36" spans="2:57" x14ac:dyDescent="0.2">
      <c r="B36" s="75">
        <v>45712</v>
      </c>
      <c r="C36" s="74">
        <v>3057.98</v>
      </c>
      <c r="D36" s="31">
        <f t="shared" si="0"/>
        <v>-3.2281747727049726E-2</v>
      </c>
      <c r="F36" s="74">
        <v>22124.7</v>
      </c>
      <c r="G36" s="31">
        <f t="shared" si="1"/>
        <v>-2.9443891226053842E-2</v>
      </c>
      <c r="V36" s="76">
        <v>45712</v>
      </c>
      <c r="W36" s="74">
        <v>460.9</v>
      </c>
      <c r="X36" s="31">
        <f t="shared" si="2"/>
        <v>-4.7392679246842873E-2</v>
      </c>
      <c r="Z36" s="74">
        <v>22124.7</v>
      </c>
      <c r="AA36" s="31">
        <f t="shared" si="3"/>
        <v>-2.9443891226053842E-2</v>
      </c>
      <c r="AF36" s="76">
        <v>45712</v>
      </c>
      <c r="AG36" s="74">
        <v>1870.68</v>
      </c>
      <c r="AH36" s="31">
        <f t="shared" si="4"/>
        <v>0.13961620469083158</v>
      </c>
      <c r="AJ36" s="74">
        <v>22124.7</v>
      </c>
      <c r="AK36" s="31">
        <f t="shared" si="5"/>
        <v>-2.9443891226053842E-2</v>
      </c>
      <c r="AP36" s="76">
        <v>45712</v>
      </c>
      <c r="AQ36" s="74">
        <v>318.10000000000002</v>
      </c>
      <c r="AR36" s="31">
        <f t="shared" si="6"/>
        <v>-7.8772082247321129E-2</v>
      </c>
      <c r="AT36" s="74">
        <v>22124.7</v>
      </c>
      <c r="AU36" s="31">
        <f t="shared" si="7"/>
        <v>-2.9443891226053842E-2</v>
      </c>
      <c r="AZ36" s="76">
        <v>46083</v>
      </c>
      <c r="BA36" s="74">
        <v>457.15</v>
      </c>
      <c r="BB36" s="31">
        <f t="shared" si="8"/>
        <v>4.5033718139215972E-2</v>
      </c>
      <c r="BD36" s="77">
        <v>24450.45</v>
      </c>
      <c r="BE36" s="31">
        <f t="shared" si="9"/>
        <v>-2.892132818876314E-2</v>
      </c>
    </row>
    <row r="37" spans="2:57" x14ac:dyDescent="0.2">
      <c r="B37" s="75">
        <v>45719</v>
      </c>
      <c r="C37" s="74">
        <v>3060.07</v>
      </c>
      <c r="D37" s="31">
        <f t="shared" si="0"/>
        <v>6.8345770737554545E-4</v>
      </c>
      <c r="F37" s="74">
        <v>22552.5</v>
      </c>
      <c r="G37" s="31">
        <f t="shared" si="1"/>
        <v>1.9335855401429125E-2</v>
      </c>
      <c r="V37" s="76">
        <v>45719</v>
      </c>
      <c r="W37" s="74">
        <v>430.44</v>
      </c>
      <c r="X37" s="31">
        <f t="shared" si="2"/>
        <v>-6.6088088522456068E-2</v>
      </c>
      <c r="Z37" s="74">
        <v>22552.5</v>
      </c>
      <c r="AA37" s="31">
        <f t="shared" si="3"/>
        <v>1.9335855401429125E-2</v>
      </c>
      <c r="AF37" s="76">
        <v>45719</v>
      </c>
      <c r="AG37" s="74">
        <v>1713.42</v>
      </c>
      <c r="AH37" s="31">
        <f t="shared" si="4"/>
        <v>-8.4065687343639728E-2</v>
      </c>
      <c r="AJ37" s="74">
        <v>22552.5</v>
      </c>
      <c r="AK37" s="31">
        <f t="shared" si="5"/>
        <v>1.9335855401429125E-2</v>
      </c>
      <c r="AP37" s="76">
        <v>45719</v>
      </c>
      <c r="AQ37" s="74">
        <v>376.2</v>
      </c>
      <c r="AR37" s="31">
        <f t="shared" si="6"/>
        <v>0.18264696636277877</v>
      </c>
      <c r="AT37" s="74">
        <v>22552.5</v>
      </c>
      <c r="AU37" s="31">
        <f t="shared" si="7"/>
        <v>1.9335855401429125E-2</v>
      </c>
      <c r="AZ37" s="76">
        <v>46090</v>
      </c>
      <c r="BA37" s="74">
        <v>521.79999999999995</v>
      </c>
      <c r="BB37" s="31">
        <f t="shared" si="8"/>
        <v>0.14141966531772932</v>
      </c>
      <c r="BD37" s="77">
        <v>23151.1</v>
      </c>
      <c r="BE37" s="31">
        <f t="shared" si="9"/>
        <v>-5.3142171207482991E-2</v>
      </c>
    </row>
    <row r="38" spans="2:57" x14ac:dyDescent="0.2">
      <c r="B38" s="75">
        <v>45726</v>
      </c>
      <c r="C38" s="74">
        <v>2991.3</v>
      </c>
      <c r="D38" s="31">
        <f t="shared" si="0"/>
        <v>-2.2473342113088934E-2</v>
      </c>
      <c r="F38" s="74">
        <v>22397.200000000001</v>
      </c>
      <c r="G38" s="31">
        <f t="shared" si="1"/>
        <v>-6.8861545283227521E-3</v>
      </c>
      <c r="V38" s="76">
        <v>45726</v>
      </c>
      <c r="W38" s="74">
        <v>429.64</v>
      </c>
      <c r="X38" s="31">
        <f t="shared" si="2"/>
        <v>-1.8585633305454596E-3</v>
      </c>
      <c r="Z38" s="74">
        <v>22397.200000000001</v>
      </c>
      <c r="AA38" s="31">
        <f t="shared" si="3"/>
        <v>-6.8861545283227521E-3</v>
      </c>
      <c r="AF38" s="76">
        <v>45726</v>
      </c>
      <c r="AG38" s="74">
        <v>1751.86</v>
      </c>
      <c r="AH38" s="31">
        <f t="shared" si="4"/>
        <v>2.2434662838066499E-2</v>
      </c>
      <c r="AJ38" s="74">
        <v>22397.200000000001</v>
      </c>
      <c r="AK38" s="31">
        <f t="shared" si="5"/>
        <v>-6.8861545283227521E-3</v>
      </c>
      <c r="AP38" s="76">
        <v>45726</v>
      </c>
      <c r="AQ38" s="74">
        <v>335.65</v>
      </c>
      <c r="AR38" s="31">
        <f t="shared" si="6"/>
        <v>-0.10778841041998943</v>
      </c>
      <c r="AT38" s="74">
        <v>22397.200000000001</v>
      </c>
      <c r="AU38" s="31">
        <f t="shared" si="7"/>
        <v>-6.8861545283227521E-3</v>
      </c>
      <c r="AZ38" s="76">
        <v>46097</v>
      </c>
      <c r="BA38" s="74">
        <v>543.79999999999995</v>
      </c>
      <c r="BB38" s="31">
        <f t="shared" si="8"/>
        <v>4.2161747796090498E-2</v>
      </c>
      <c r="BD38" s="77">
        <v>23114.5</v>
      </c>
      <c r="BE38" s="31">
        <f t="shared" si="9"/>
        <v>-1.5809184012853805E-3</v>
      </c>
    </row>
    <row r="39" spans="2:57" x14ac:dyDescent="0.2">
      <c r="B39" s="75">
        <v>45733</v>
      </c>
      <c r="C39" s="74">
        <v>3142.9</v>
      </c>
      <c r="D39" s="31">
        <f t="shared" si="0"/>
        <v>5.0680306221375204E-2</v>
      </c>
      <c r="F39" s="74">
        <v>23350.400000000001</v>
      </c>
      <c r="G39" s="31">
        <f t="shared" si="1"/>
        <v>4.2558891289982803E-2</v>
      </c>
      <c r="V39" s="76">
        <v>45733</v>
      </c>
      <c r="W39" s="74">
        <v>469.83</v>
      </c>
      <c r="X39" s="31">
        <f t="shared" si="2"/>
        <v>9.354343171026902E-2</v>
      </c>
      <c r="Z39" s="74">
        <v>23350.400000000001</v>
      </c>
      <c r="AA39" s="31">
        <f t="shared" si="3"/>
        <v>4.2558891289982803E-2</v>
      </c>
      <c r="AF39" s="76">
        <v>45733</v>
      </c>
      <c r="AG39" s="74">
        <v>1867.22</v>
      </c>
      <c r="AH39" s="31">
        <f t="shared" si="4"/>
        <v>6.5850010845615703E-2</v>
      </c>
      <c r="AJ39" s="74">
        <v>23350.400000000001</v>
      </c>
      <c r="AK39" s="31">
        <f t="shared" si="5"/>
        <v>4.2558891289982803E-2</v>
      </c>
      <c r="AP39" s="76">
        <v>45733</v>
      </c>
      <c r="AQ39" s="74">
        <v>334.95</v>
      </c>
      <c r="AR39" s="31">
        <f t="shared" si="6"/>
        <v>-2.0855057351407691E-3</v>
      </c>
      <c r="AT39" s="74">
        <v>23350.400000000001</v>
      </c>
      <c r="AU39" s="31">
        <f t="shared" si="7"/>
        <v>4.2558891289982803E-2</v>
      </c>
      <c r="AZ39" s="76">
        <v>46104</v>
      </c>
      <c r="BA39" s="74">
        <v>490</v>
      </c>
      <c r="BB39" s="31">
        <f t="shared" si="8"/>
        <v>-9.8933431408605998E-2</v>
      </c>
      <c r="BD39" s="77">
        <v>22819.599999999999</v>
      </c>
      <c r="BE39" s="31">
        <f t="shared" si="9"/>
        <v>-1.275822535637805E-2</v>
      </c>
    </row>
    <row r="40" spans="2:57" x14ac:dyDescent="0.2">
      <c r="B40" s="75">
        <v>45740</v>
      </c>
      <c r="C40" s="74">
        <v>3044.17</v>
      </c>
      <c r="D40" s="31">
        <f t="shared" si="0"/>
        <v>-3.1413662540965337E-2</v>
      </c>
      <c r="F40" s="74">
        <v>23519.35</v>
      </c>
      <c r="G40" s="31">
        <f t="shared" si="1"/>
        <v>7.2354220912702605E-3</v>
      </c>
      <c r="V40" s="76">
        <v>45740</v>
      </c>
      <c r="W40" s="74">
        <v>465.89</v>
      </c>
      <c r="X40" s="31">
        <f t="shared" si="2"/>
        <v>-8.3860119617733542E-3</v>
      </c>
      <c r="Z40" s="74">
        <v>23519.35</v>
      </c>
      <c r="AA40" s="31">
        <f t="shared" si="3"/>
        <v>7.2354220912702605E-3</v>
      </c>
      <c r="AF40" s="76">
        <v>45740</v>
      </c>
      <c r="AG40" s="74">
        <v>1989.75</v>
      </c>
      <c r="AH40" s="31">
        <f t="shared" si="4"/>
        <v>6.5621619305705758E-2</v>
      </c>
      <c r="AJ40" s="74">
        <v>23519.35</v>
      </c>
      <c r="AK40" s="31">
        <f t="shared" si="5"/>
        <v>7.2354220912702605E-3</v>
      </c>
      <c r="AP40" s="76">
        <v>45740</v>
      </c>
      <c r="AQ40" s="74">
        <v>321.55</v>
      </c>
      <c r="AR40" s="31">
        <f t="shared" si="6"/>
        <v>-4.000597104045378E-2</v>
      </c>
      <c r="AT40" s="74">
        <v>23519.35</v>
      </c>
      <c r="AU40" s="31">
        <f t="shared" si="7"/>
        <v>7.2354220912702605E-3</v>
      </c>
      <c r="AZ40" s="76">
        <v>46111</v>
      </c>
      <c r="BA40" s="74">
        <v>427.55</v>
      </c>
      <c r="BB40" s="31">
        <f t="shared" si="8"/>
        <v>-0.12744897959183676</v>
      </c>
      <c r="BD40" s="77">
        <v>22713.1</v>
      </c>
      <c r="BE40" s="31">
        <f t="shared" si="9"/>
        <v>-4.6670406142088616E-3</v>
      </c>
    </row>
    <row r="41" spans="2:57" x14ac:dyDescent="0.2">
      <c r="B41" s="75">
        <v>45747</v>
      </c>
      <c r="C41" s="74">
        <v>3056.94</v>
      </c>
      <c r="D41" s="31">
        <f t="shared" ref="D41:D72" si="10">C41/C40-1</f>
        <v>4.1949037011730361E-3</v>
      </c>
      <c r="F41" s="74">
        <v>22904.45</v>
      </c>
      <c r="G41" s="31">
        <f t="shared" ref="G41:G72" si="11">F41/F40-1</f>
        <v>-2.6144430011883713E-2</v>
      </c>
      <c r="V41" s="76">
        <v>45747</v>
      </c>
      <c r="W41" s="74">
        <v>485.73</v>
      </c>
      <c r="X41" s="31">
        <f t="shared" ref="X41:X72" si="12">W41/W40-1</f>
        <v>4.2585159587027022E-2</v>
      </c>
      <c r="Z41" s="74">
        <v>22904.45</v>
      </c>
      <c r="AA41" s="31">
        <f t="shared" ref="AA41:AA72" si="13">Z41/Z40-1</f>
        <v>-2.6144430011883713E-2</v>
      </c>
      <c r="AF41" s="76">
        <v>45747</v>
      </c>
      <c r="AG41" s="74">
        <v>1977.03</v>
      </c>
      <c r="AH41" s="31">
        <f t="shared" ref="AH41:AH72" si="14">AG41/AG40-1</f>
        <v>-6.3927629099133076E-3</v>
      </c>
      <c r="AJ41" s="74">
        <v>22904.45</v>
      </c>
      <c r="AK41" s="31">
        <f t="shared" ref="AK41:AK72" si="15">AJ41/AJ40-1</f>
        <v>-2.6144430011883713E-2</v>
      </c>
      <c r="AP41" s="76">
        <v>45747</v>
      </c>
      <c r="AQ41" s="74">
        <v>327.60000000000002</v>
      </c>
      <c r="AR41" s="31">
        <f t="shared" ref="AR41:AR72" si="16">AQ41/AQ40-1</f>
        <v>1.8815114290157142E-2</v>
      </c>
      <c r="AT41" s="74">
        <v>22904.45</v>
      </c>
      <c r="AU41" s="31">
        <f t="shared" ref="AU41:AU72" si="17">AT41/AT40-1</f>
        <v>-2.6144430011883713E-2</v>
      </c>
      <c r="AZ41" s="76">
        <v>46118</v>
      </c>
      <c r="BA41" s="74">
        <v>495.1</v>
      </c>
      <c r="BB41" s="31">
        <f t="shared" ref="BB41:BB59" si="18">BA41/BA40-1</f>
        <v>0.15799321716758286</v>
      </c>
      <c r="BD41" s="77">
        <v>24050.6</v>
      </c>
      <c r="BE41" s="31">
        <f t="shared" ref="BE41:BE59" si="19">BD41/BD40-1</f>
        <v>5.8886721759689342E-2</v>
      </c>
    </row>
    <row r="42" spans="2:57" x14ac:dyDescent="0.2">
      <c r="B42" s="75">
        <v>45754</v>
      </c>
      <c r="C42" s="74">
        <v>3214.65</v>
      </c>
      <c r="D42" s="31">
        <f t="shared" si="10"/>
        <v>5.159080649276726E-2</v>
      </c>
      <c r="F42" s="74">
        <v>22828.55</v>
      </c>
      <c r="G42" s="31">
        <f t="shared" si="11"/>
        <v>-3.3137665388167648E-3</v>
      </c>
      <c r="V42" s="76">
        <v>45754</v>
      </c>
      <c r="W42" s="74">
        <v>509.26</v>
      </c>
      <c r="X42" s="31">
        <f t="shared" si="12"/>
        <v>4.8442550388075656E-2</v>
      </c>
      <c r="Z42" s="74">
        <v>22828.55</v>
      </c>
      <c r="AA42" s="31">
        <f t="shared" si="13"/>
        <v>-3.3137665388167648E-3</v>
      </c>
      <c r="AF42" s="76">
        <v>45754</v>
      </c>
      <c r="AG42" s="74">
        <v>2029.73</v>
      </c>
      <c r="AH42" s="31">
        <f t="shared" si="14"/>
        <v>2.6656145834913936E-2</v>
      </c>
      <c r="AJ42" s="74">
        <v>22828.55</v>
      </c>
      <c r="AK42" s="31">
        <f t="shared" si="15"/>
        <v>-3.3137665388167648E-3</v>
      </c>
      <c r="AP42" s="76">
        <v>45754</v>
      </c>
      <c r="AQ42" s="74">
        <v>319.95</v>
      </c>
      <c r="AR42" s="31">
        <f t="shared" si="16"/>
        <v>-2.3351648351648491E-2</v>
      </c>
      <c r="AT42" s="74">
        <v>22828.55</v>
      </c>
      <c r="AU42" s="31">
        <f t="shared" si="17"/>
        <v>-3.3137665388167648E-3</v>
      </c>
      <c r="AZ42" s="76">
        <v>46125</v>
      </c>
      <c r="BA42" s="74">
        <v>521.5</v>
      </c>
      <c r="BB42" s="31">
        <f t="shared" si="18"/>
        <v>5.3322561098767984E-2</v>
      </c>
      <c r="BD42" s="77">
        <v>24353.55</v>
      </c>
      <c r="BE42" s="31">
        <f t="shared" si="19"/>
        <v>1.2596359342386565E-2</v>
      </c>
    </row>
    <row r="43" spans="2:57" x14ac:dyDescent="0.2">
      <c r="B43" s="75">
        <v>45761</v>
      </c>
      <c r="C43" s="74">
        <v>3306.67</v>
      </c>
      <c r="D43" s="31">
        <f t="shared" si="10"/>
        <v>2.8625200255082195E-2</v>
      </c>
      <c r="F43" s="74">
        <v>23851.65</v>
      </c>
      <c r="G43" s="31">
        <f t="shared" si="11"/>
        <v>4.4816687875489425E-2</v>
      </c>
      <c r="V43" s="76">
        <v>45761</v>
      </c>
      <c r="W43" s="74">
        <v>523.12</v>
      </c>
      <c r="X43" s="31">
        <f t="shared" si="12"/>
        <v>2.7215960413148554E-2</v>
      </c>
      <c r="Z43" s="74">
        <v>23851.65</v>
      </c>
      <c r="AA43" s="31">
        <f t="shared" si="13"/>
        <v>4.4816687875489425E-2</v>
      </c>
      <c r="AF43" s="76">
        <v>45761</v>
      </c>
      <c r="AG43" s="74">
        <v>2025.71</v>
      </c>
      <c r="AH43" s="31">
        <f t="shared" si="14"/>
        <v>-1.980558990604675E-3</v>
      </c>
      <c r="AJ43" s="74">
        <v>23851.65</v>
      </c>
      <c r="AK43" s="31">
        <f t="shared" si="15"/>
        <v>4.4816687875489425E-2</v>
      </c>
      <c r="AP43" s="76">
        <v>45761</v>
      </c>
      <c r="AQ43" s="74">
        <v>351</v>
      </c>
      <c r="AR43" s="31">
        <f t="shared" si="16"/>
        <v>9.7046413502109852E-2</v>
      </c>
      <c r="AT43" s="74">
        <v>23851.65</v>
      </c>
      <c r="AU43" s="31">
        <f t="shared" si="17"/>
        <v>4.4816687875489425E-2</v>
      </c>
      <c r="AZ43" s="76">
        <v>46132</v>
      </c>
      <c r="BA43" s="74">
        <v>546.1</v>
      </c>
      <c r="BB43" s="31">
        <f t="shared" si="18"/>
        <v>4.7171620325982877E-2</v>
      </c>
      <c r="BD43" s="77">
        <v>23897.95</v>
      </c>
      <c r="BE43" s="31">
        <f t="shared" si="19"/>
        <v>-1.8707744866764742E-2</v>
      </c>
    </row>
    <row r="44" spans="2:57" x14ac:dyDescent="0.2">
      <c r="B44" s="75">
        <v>45768</v>
      </c>
      <c r="C44" s="74">
        <v>3344.13</v>
      </c>
      <c r="D44" s="31">
        <f t="shared" si="10"/>
        <v>1.1328617612280656E-2</v>
      </c>
      <c r="F44" s="74">
        <v>24039.35</v>
      </c>
      <c r="G44" s="31">
        <f t="shared" si="11"/>
        <v>7.86947653516612E-3</v>
      </c>
      <c r="V44" s="76">
        <v>45768</v>
      </c>
      <c r="W44" s="74">
        <v>499.79</v>
      </c>
      <c r="X44" s="31">
        <f t="shared" si="12"/>
        <v>-4.459779782841411E-2</v>
      </c>
      <c r="Z44" s="74">
        <v>24039.35</v>
      </c>
      <c r="AA44" s="31">
        <f t="shared" si="13"/>
        <v>7.86947653516612E-3</v>
      </c>
      <c r="AF44" s="76">
        <v>45768</v>
      </c>
      <c r="AG44" s="74">
        <v>2119.13</v>
      </c>
      <c r="AH44" s="31">
        <f t="shared" si="14"/>
        <v>4.6117163858597765E-2</v>
      </c>
      <c r="AJ44" s="74">
        <v>24039.35</v>
      </c>
      <c r="AK44" s="31">
        <f t="shared" si="15"/>
        <v>7.86947653516612E-3</v>
      </c>
      <c r="AP44" s="76">
        <v>45768</v>
      </c>
      <c r="AQ44" s="74">
        <v>315.3</v>
      </c>
      <c r="AR44" s="31">
        <f t="shared" si="16"/>
        <v>-0.10170940170940168</v>
      </c>
      <c r="AT44" s="74">
        <v>24039.35</v>
      </c>
      <c r="AU44" s="31">
        <f t="shared" si="17"/>
        <v>7.86947653516612E-3</v>
      </c>
      <c r="AZ44" s="76">
        <v>46139</v>
      </c>
      <c r="BA44" s="74">
        <v>504.25</v>
      </c>
      <c r="BB44" s="31">
        <f t="shared" si="18"/>
        <v>-7.6634316059329799E-2</v>
      </c>
      <c r="BD44" s="77">
        <v>23997.55</v>
      </c>
      <c r="BE44" s="31">
        <f t="shared" si="19"/>
        <v>4.167721499124255E-3</v>
      </c>
    </row>
    <row r="45" spans="2:57" x14ac:dyDescent="0.2">
      <c r="B45" s="75">
        <v>45775</v>
      </c>
      <c r="C45" s="74">
        <v>3321.08</v>
      </c>
      <c r="D45" s="31">
        <f t="shared" si="10"/>
        <v>-6.8926746268835881E-3</v>
      </c>
      <c r="F45" s="74">
        <v>24346.7</v>
      </c>
      <c r="G45" s="31">
        <f t="shared" si="11"/>
        <v>1.2785287455775673E-2</v>
      </c>
      <c r="V45" s="76">
        <v>45775</v>
      </c>
      <c r="W45" s="74">
        <v>505.77</v>
      </c>
      <c r="X45" s="31">
        <f t="shared" si="12"/>
        <v>1.1965025310630484E-2</v>
      </c>
      <c r="Z45" s="74">
        <v>24346.7</v>
      </c>
      <c r="AA45" s="31">
        <f t="shared" si="13"/>
        <v>1.2785287455775673E-2</v>
      </c>
      <c r="AF45" s="76">
        <v>45775</v>
      </c>
      <c r="AG45" s="74">
        <v>1995.4</v>
      </c>
      <c r="AH45" s="31">
        <f t="shared" si="14"/>
        <v>-5.8387168319074312E-2</v>
      </c>
      <c r="AJ45" s="74">
        <v>24346.7</v>
      </c>
      <c r="AK45" s="31">
        <f t="shared" si="15"/>
        <v>1.2785287455775673E-2</v>
      </c>
      <c r="AP45" s="76">
        <v>45775</v>
      </c>
      <c r="AQ45" s="74">
        <v>305.64999999999998</v>
      </c>
      <c r="AR45" s="31">
        <f t="shared" si="16"/>
        <v>-3.0605772280367982E-2</v>
      </c>
      <c r="AT45" s="74">
        <v>24346.7</v>
      </c>
      <c r="AU45" s="31">
        <f t="shared" si="17"/>
        <v>1.2785287455775673E-2</v>
      </c>
      <c r="AZ45" s="76">
        <v>46146</v>
      </c>
      <c r="BA45" s="74">
        <v>504.05</v>
      </c>
      <c r="BB45" s="31">
        <f t="shared" si="18"/>
        <v>-3.9662865642042799E-4</v>
      </c>
      <c r="BD45" s="77">
        <v>24176.15</v>
      </c>
      <c r="BE45" s="31">
        <f t="shared" si="19"/>
        <v>7.4424264143633234E-3</v>
      </c>
    </row>
    <row r="46" spans="2:57" x14ac:dyDescent="0.2">
      <c r="B46" s="75">
        <v>45782</v>
      </c>
      <c r="C46" s="74">
        <v>3488.32</v>
      </c>
      <c r="D46" s="31">
        <f t="shared" si="10"/>
        <v>5.0357112746455934E-2</v>
      </c>
      <c r="F46" s="74">
        <v>24008</v>
      </c>
      <c r="G46" s="31">
        <f t="shared" si="11"/>
        <v>-1.391153626569519E-2</v>
      </c>
      <c r="V46" s="76">
        <v>45782</v>
      </c>
      <c r="W46" s="74">
        <v>517.64</v>
      </c>
      <c r="X46" s="31">
        <f t="shared" si="12"/>
        <v>2.3469165826363714E-2</v>
      </c>
      <c r="Z46" s="74">
        <v>24008</v>
      </c>
      <c r="AA46" s="31">
        <f t="shared" si="13"/>
        <v>-1.391153626569519E-2</v>
      </c>
      <c r="AF46" s="76">
        <v>45782</v>
      </c>
      <c r="AG46" s="74">
        <v>1894.06</v>
      </c>
      <c r="AH46" s="31">
        <f t="shared" si="14"/>
        <v>-5.0786809662223154E-2</v>
      </c>
      <c r="AJ46" s="74">
        <v>24008</v>
      </c>
      <c r="AK46" s="31">
        <f t="shared" si="15"/>
        <v>-1.391153626569519E-2</v>
      </c>
      <c r="AP46" s="76">
        <v>45782</v>
      </c>
      <c r="AQ46" s="74">
        <v>289.5</v>
      </c>
      <c r="AR46" s="31">
        <f t="shared" si="16"/>
        <v>-5.2838213643055743E-2</v>
      </c>
      <c r="AT46" s="74">
        <v>24008</v>
      </c>
      <c r="AU46" s="31">
        <f t="shared" si="17"/>
        <v>-1.391153626569519E-2</v>
      </c>
      <c r="AZ46" s="76">
        <v>46153</v>
      </c>
      <c r="BA46" s="74">
        <v>475.35</v>
      </c>
      <c r="BB46" s="31">
        <f t="shared" si="18"/>
        <v>-5.6938795754389426E-2</v>
      </c>
      <c r="BD46" s="77">
        <v>23643.5</v>
      </c>
      <c r="BE46" s="31">
        <f t="shared" si="19"/>
        <v>-2.2032043977225579E-2</v>
      </c>
    </row>
    <row r="47" spans="2:57" x14ac:dyDescent="0.2">
      <c r="B47" s="75">
        <v>45789</v>
      </c>
      <c r="C47" s="74">
        <v>3610.95</v>
      </c>
      <c r="D47" s="31">
        <f t="shared" si="10"/>
        <v>3.5154458306577263E-2</v>
      </c>
      <c r="F47" s="74">
        <v>25019.8</v>
      </c>
      <c r="G47" s="31">
        <f t="shared" si="11"/>
        <v>4.2144285238253865E-2</v>
      </c>
      <c r="V47" s="76">
        <v>45789</v>
      </c>
      <c r="W47" s="74">
        <v>558.76</v>
      </c>
      <c r="X47" s="31">
        <f t="shared" si="12"/>
        <v>7.9437446874275564E-2</v>
      </c>
      <c r="Z47" s="74">
        <v>25019.8</v>
      </c>
      <c r="AA47" s="31">
        <f t="shared" si="13"/>
        <v>4.2144285238253865E-2</v>
      </c>
      <c r="AF47" s="76">
        <v>45789</v>
      </c>
      <c r="AG47" s="74">
        <v>1912.59</v>
      </c>
      <c r="AH47" s="31">
        <f t="shared" si="14"/>
        <v>9.7832170047411626E-3</v>
      </c>
      <c r="AJ47" s="74">
        <v>25019.8</v>
      </c>
      <c r="AK47" s="31">
        <f t="shared" si="15"/>
        <v>4.2144285238253865E-2</v>
      </c>
      <c r="AP47" s="76">
        <v>45789</v>
      </c>
      <c r="AQ47" s="74">
        <v>338.7</v>
      </c>
      <c r="AR47" s="31">
        <f t="shared" si="16"/>
        <v>0.1699481865284973</v>
      </c>
      <c r="AT47" s="74">
        <v>25019.8</v>
      </c>
      <c r="AU47" s="31">
        <f t="shared" si="17"/>
        <v>4.2144285238253865E-2</v>
      </c>
      <c r="AZ47" s="76">
        <v>46160</v>
      </c>
      <c r="BA47" s="74">
        <v>474.5</v>
      </c>
      <c r="BB47" s="31">
        <f t="shared" si="18"/>
        <v>-1.7881560955086417E-3</v>
      </c>
      <c r="BD47" s="77">
        <v>23719.3</v>
      </c>
      <c r="BE47" s="31">
        <f t="shared" si="19"/>
        <v>3.2059551250871454E-3</v>
      </c>
    </row>
    <row r="48" spans="2:57" x14ac:dyDescent="0.2">
      <c r="B48" s="75">
        <v>45796</v>
      </c>
      <c r="C48" s="74">
        <v>3557.29</v>
      </c>
      <c r="D48" s="31">
        <f t="shared" si="10"/>
        <v>-1.4860355308159878E-2</v>
      </c>
      <c r="F48" s="74">
        <v>24853.15</v>
      </c>
      <c r="G48" s="31">
        <f t="shared" si="11"/>
        <v>-6.660724706032739E-3</v>
      </c>
      <c r="V48" s="76">
        <v>45796</v>
      </c>
      <c r="W48" s="74">
        <v>551.98</v>
      </c>
      <c r="X48" s="31">
        <f t="shared" si="12"/>
        <v>-1.213401102441114E-2</v>
      </c>
      <c r="Z48" s="74">
        <v>24853.15</v>
      </c>
      <c r="AA48" s="31">
        <f t="shared" si="13"/>
        <v>-6.660724706032739E-3</v>
      </c>
      <c r="AF48" s="76">
        <v>45796</v>
      </c>
      <c r="AG48" s="74">
        <v>1878.41</v>
      </c>
      <c r="AH48" s="31">
        <f t="shared" si="14"/>
        <v>-1.7871054434039579E-2</v>
      </c>
      <c r="AJ48" s="74">
        <v>24853.15</v>
      </c>
      <c r="AK48" s="31">
        <f t="shared" si="15"/>
        <v>-6.660724706032739E-3</v>
      </c>
      <c r="AP48" s="76">
        <v>45796</v>
      </c>
      <c r="AQ48" s="74">
        <v>355.45</v>
      </c>
      <c r="AR48" s="31">
        <f t="shared" si="16"/>
        <v>4.9453793917921374E-2</v>
      </c>
      <c r="AT48" s="74">
        <v>24853.15</v>
      </c>
      <c r="AU48" s="31">
        <f t="shared" si="17"/>
        <v>-6.660724706032739E-3</v>
      </c>
      <c r="AZ48" s="76">
        <v>46167</v>
      </c>
      <c r="BA48" s="74">
        <v>479.6</v>
      </c>
      <c r="BB48" s="31">
        <f t="shared" si="18"/>
        <v>1.0748155953635541E-2</v>
      </c>
      <c r="BD48" s="77">
        <v>23547.75</v>
      </c>
      <c r="BE48" s="31">
        <f t="shared" si="19"/>
        <v>-7.2325068615008981E-3</v>
      </c>
    </row>
    <row r="49" spans="2:57" x14ac:dyDescent="0.2">
      <c r="B49" s="75">
        <v>45803</v>
      </c>
      <c r="C49" s="74">
        <v>3532.74</v>
      </c>
      <c r="D49" s="31">
        <f t="shared" si="10"/>
        <v>-6.9013209493744565E-3</v>
      </c>
      <c r="F49" s="74">
        <v>24750.7</v>
      </c>
      <c r="G49" s="31">
        <f t="shared" si="11"/>
        <v>-4.1222138843567402E-3</v>
      </c>
      <c r="V49" s="76">
        <v>45803</v>
      </c>
      <c r="W49" s="74">
        <v>558.76</v>
      </c>
      <c r="X49" s="31">
        <f t="shared" si="12"/>
        <v>1.2283053733830984E-2</v>
      </c>
      <c r="Z49" s="74">
        <v>24750.7</v>
      </c>
      <c r="AA49" s="31">
        <f t="shared" si="13"/>
        <v>-4.1222138843567402E-3</v>
      </c>
      <c r="AF49" s="76">
        <v>45803</v>
      </c>
      <c r="AG49" s="74">
        <v>1909.81</v>
      </c>
      <c r="AH49" s="31">
        <f t="shared" si="14"/>
        <v>1.6716265352079596E-2</v>
      </c>
      <c r="AJ49" s="74">
        <v>24750.7</v>
      </c>
      <c r="AK49" s="31">
        <f t="shared" si="15"/>
        <v>-4.1222138843567402E-3</v>
      </c>
      <c r="AP49" s="76">
        <v>45803</v>
      </c>
      <c r="AQ49" s="74">
        <v>393.6</v>
      </c>
      <c r="AR49" s="31">
        <f t="shared" si="16"/>
        <v>0.107328738219159</v>
      </c>
      <c r="AT49" s="74">
        <v>24750.7</v>
      </c>
      <c r="AU49" s="31">
        <f t="shared" si="17"/>
        <v>-4.1222138843567402E-3</v>
      </c>
      <c r="AZ49" s="76">
        <v>46174</v>
      </c>
      <c r="BA49" s="74">
        <v>555.15</v>
      </c>
      <c r="BB49" s="31">
        <f t="shared" si="18"/>
        <v>0.15752710592160124</v>
      </c>
      <c r="BD49" s="77">
        <v>23366.7</v>
      </c>
      <c r="BE49" s="31">
        <f t="shared" si="19"/>
        <v>-7.6886326719113329E-3</v>
      </c>
    </row>
    <row r="50" spans="2:57" x14ac:dyDescent="0.2">
      <c r="B50" s="75">
        <v>45810</v>
      </c>
      <c r="C50" s="74">
        <v>3537.61</v>
      </c>
      <c r="D50" s="31">
        <f t="shared" si="10"/>
        <v>1.3785333763596253E-3</v>
      </c>
      <c r="F50" s="74">
        <v>25003.05</v>
      </c>
      <c r="G50" s="31">
        <f t="shared" si="11"/>
        <v>1.0195671233540704E-2</v>
      </c>
      <c r="V50" s="76">
        <v>45810</v>
      </c>
      <c r="W50" s="74">
        <v>561.46</v>
      </c>
      <c r="X50" s="31">
        <f t="shared" si="12"/>
        <v>4.8321282840575464E-3</v>
      </c>
      <c r="Z50" s="74">
        <v>25003.05</v>
      </c>
      <c r="AA50" s="31">
        <f t="shared" si="13"/>
        <v>1.0195671233540704E-2</v>
      </c>
      <c r="AF50" s="76">
        <v>45810</v>
      </c>
      <c r="AG50" s="74">
        <v>1896.04</v>
      </c>
      <c r="AH50" s="31">
        <f t="shared" si="14"/>
        <v>-7.2101413229588296E-3</v>
      </c>
      <c r="AJ50" s="74">
        <v>25003.05</v>
      </c>
      <c r="AK50" s="31">
        <f t="shared" si="15"/>
        <v>1.0195671233540704E-2</v>
      </c>
      <c r="AP50" s="76">
        <v>45810</v>
      </c>
      <c r="AQ50" s="74">
        <v>377.4</v>
      </c>
      <c r="AR50" s="31">
        <f t="shared" si="16"/>
        <v>-4.1158536585365946E-2</v>
      </c>
      <c r="AT50" s="74">
        <v>25003.05</v>
      </c>
      <c r="AU50" s="31">
        <f t="shared" si="17"/>
        <v>1.0195671233540704E-2</v>
      </c>
      <c r="AZ50" s="76">
        <v>46181</v>
      </c>
      <c r="BA50" s="74">
        <v>520.5</v>
      </c>
      <c r="BB50" s="31">
        <f t="shared" si="18"/>
        <v>-6.2415563361253645E-2</v>
      </c>
      <c r="BD50" s="77">
        <v>23622.9</v>
      </c>
      <c r="BE50" s="31">
        <f t="shared" si="19"/>
        <v>1.0964321020940027E-2</v>
      </c>
    </row>
    <row r="51" spans="2:57" x14ac:dyDescent="0.2">
      <c r="B51" s="75">
        <v>45817</v>
      </c>
      <c r="C51" s="74">
        <v>3400.47</v>
      </c>
      <c r="D51" s="31">
        <f t="shared" si="10"/>
        <v>-3.876628571267049E-2</v>
      </c>
      <c r="F51" s="74">
        <v>24718.6</v>
      </c>
      <c r="G51" s="31">
        <f t="shared" si="11"/>
        <v>-1.1376612053329516E-2</v>
      </c>
      <c r="V51" s="76">
        <v>45817</v>
      </c>
      <c r="W51" s="74">
        <v>517.44000000000005</v>
      </c>
      <c r="X51" s="31">
        <f t="shared" si="12"/>
        <v>-7.8402735724717676E-2</v>
      </c>
      <c r="Z51" s="74">
        <v>24718.6</v>
      </c>
      <c r="AA51" s="31">
        <f t="shared" si="13"/>
        <v>-1.1376612053329516E-2</v>
      </c>
      <c r="AF51" s="76">
        <v>45817</v>
      </c>
      <c r="AG51" s="74">
        <v>1834.82</v>
      </c>
      <c r="AH51" s="31">
        <f t="shared" si="14"/>
        <v>-3.2288348347081275E-2</v>
      </c>
      <c r="AJ51" s="74">
        <v>24718.6</v>
      </c>
      <c r="AK51" s="31">
        <f t="shared" si="15"/>
        <v>-1.1376612053329516E-2</v>
      </c>
      <c r="AP51" s="76">
        <v>45817</v>
      </c>
      <c r="AQ51" s="74">
        <v>385.25</v>
      </c>
      <c r="AR51" s="31">
        <f t="shared" si="16"/>
        <v>2.0800211976682581E-2</v>
      </c>
      <c r="AT51" s="74">
        <v>24718.6</v>
      </c>
      <c r="AU51" s="31">
        <f t="shared" si="17"/>
        <v>-1.1376612053329516E-2</v>
      </c>
      <c r="AZ51" s="76">
        <v>46188</v>
      </c>
      <c r="BA51" s="74">
        <v>522.79999999999995</v>
      </c>
      <c r="BB51" s="31">
        <f t="shared" si="18"/>
        <v>4.4188280499519728E-3</v>
      </c>
      <c r="BD51" s="77">
        <v>24013.1</v>
      </c>
      <c r="BE51" s="31">
        <f t="shared" si="19"/>
        <v>1.6517870371546062E-2</v>
      </c>
    </row>
    <row r="52" spans="2:57" x14ac:dyDescent="0.2">
      <c r="B52" s="75">
        <v>45824</v>
      </c>
      <c r="C52" s="74">
        <v>3496.97</v>
      </c>
      <c r="D52" s="31">
        <f t="shared" si="10"/>
        <v>2.8378430040553182E-2</v>
      </c>
      <c r="F52" s="74">
        <v>25112.400000000001</v>
      </c>
      <c r="G52" s="31">
        <f t="shared" si="11"/>
        <v>1.5931322971365791E-2</v>
      </c>
      <c r="V52" s="76">
        <v>45824</v>
      </c>
      <c r="W52" s="74">
        <v>516.84</v>
      </c>
      <c r="X52" s="31">
        <f t="shared" si="12"/>
        <v>-1.159554730983392E-3</v>
      </c>
      <c r="Z52" s="74">
        <v>25112.400000000001</v>
      </c>
      <c r="AA52" s="31">
        <f t="shared" si="13"/>
        <v>1.5931322971365791E-2</v>
      </c>
      <c r="AF52" s="76">
        <v>45824</v>
      </c>
      <c r="AG52" s="74">
        <v>1863.55</v>
      </c>
      <c r="AH52" s="31">
        <f t="shared" si="14"/>
        <v>1.5658211704690395E-2</v>
      </c>
      <c r="AJ52" s="74">
        <v>25112.400000000001</v>
      </c>
      <c r="AK52" s="31">
        <f t="shared" si="15"/>
        <v>1.5931322971365791E-2</v>
      </c>
      <c r="AP52" s="76">
        <v>45824</v>
      </c>
      <c r="AQ52" s="74">
        <v>318.05</v>
      </c>
      <c r="AR52" s="31">
        <f t="shared" si="16"/>
        <v>-0.17443218689162876</v>
      </c>
      <c r="AT52" s="74">
        <v>25112.400000000001</v>
      </c>
      <c r="AU52" s="31">
        <f t="shared" si="17"/>
        <v>1.5931322971365791E-2</v>
      </c>
      <c r="AZ52" s="76">
        <v>46195</v>
      </c>
      <c r="BA52" s="74">
        <v>533.15</v>
      </c>
      <c r="BB52" s="31">
        <f t="shared" si="18"/>
        <v>1.9797245600612134E-2</v>
      </c>
      <c r="BD52" s="77">
        <v>24056</v>
      </c>
      <c r="BE52" s="31">
        <f t="shared" si="19"/>
        <v>1.7865248551833801E-3</v>
      </c>
    </row>
    <row r="53" spans="2:57" x14ac:dyDescent="0.2">
      <c r="B53" s="75">
        <v>45831</v>
      </c>
      <c r="C53" s="74">
        <v>3643.25</v>
      </c>
      <c r="D53" s="31">
        <f t="shared" si="10"/>
        <v>4.1830498974826824E-2</v>
      </c>
      <c r="F53" s="74">
        <v>25637.8</v>
      </c>
      <c r="G53" s="31">
        <f t="shared" si="11"/>
        <v>2.092193498032846E-2</v>
      </c>
      <c r="V53" s="76">
        <v>45831</v>
      </c>
      <c r="W53" s="74">
        <v>543.16</v>
      </c>
      <c r="X53" s="31">
        <f t="shared" si="12"/>
        <v>5.0924851017722927E-2</v>
      </c>
      <c r="Z53" s="74">
        <v>25637.8</v>
      </c>
      <c r="AA53" s="31">
        <f t="shared" si="13"/>
        <v>2.092193498032846E-2</v>
      </c>
      <c r="AF53" s="76">
        <v>45831</v>
      </c>
      <c r="AG53" s="74">
        <v>1844.13</v>
      </c>
      <c r="AH53" s="31">
        <f t="shared" si="14"/>
        <v>-1.0420970727911705E-2</v>
      </c>
      <c r="AJ53" s="74">
        <v>25637.8</v>
      </c>
      <c r="AK53" s="31">
        <f t="shared" si="15"/>
        <v>2.092193498032846E-2</v>
      </c>
      <c r="AP53" s="76">
        <v>45831</v>
      </c>
      <c r="AQ53" s="74">
        <v>323.55</v>
      </c>
      <c r="AR53" s="31">
        <f t="shared" si="16"/>
        <v>1.7292878478226692E-2</v>
      </c>
      <c r="AT53" s="74">
        <v>25637.8</v>
      </c>
      <c r="AU53" s="31">
        <f t="shared" si="17"/>
        <v>2.092193498032846E-2</v>
      </c>
      <c r="AZ53" s="76">
        <v>46202</v>
      </c>
      <c r="BA53" s="74">
        <v>569.65</v>
      </c>
      <c r="BB53" s="31">
        <f t="shared" si="18"/>
        <v>6.8461033480258893E-2</v>
      </c>
      <c r="BD53" s="77">
        <v>24270.85</v>
      </c>
      <c r="BE53" s="31">
        <f t="shared" si="19"/>
        <v>8.9312437645492349E-3</v>
      </c>
    </row>
    <row r="54" spans="2:57" x14ac:dyDescent="0.2">
      <c r="B54" s="75">
        <v>45838</v>
      </c>
      <c r="C54" s="74">
        <v>3663.82</v>
      </c>
      <c r="D54" s="31">
        <f t="shared" si="10"/>
        <v>5.6460577780828025E-3</v>
      </c>
      <c r="F54" s="74">
        <v>25461</v>
      </c>
      <c r="G54" s="31">
        <f t="shared" si="11"/>
        <v>-6.8960675252947023E-3</v>
      </c>
      <c r="V54" s="76">
        <v>45838</v>
      </c>
      <c r="W54" s="74">
        <v>583.94000000000005</v>
      </c>
      <c r="X54" s="31">
        <f t="shared" si="12"/>
        <v>7.5079166359820482E-2</v>
      </c>
      <c r="Z54" s="74">
        <v>25461</v>
      </c>
      <c r="AA54" s="31">
        <f t="shared" si="13"/>
        <v>-6.8960675252947023E-3</v>
      </c>
      <c r="AF54" s="76">
        <v>45838</v>
      </c>
      <c r="AG54" s="74">
        <v>1881.48</v>
      </c>
      <c r="AH54" s="31">
        <f t="shared" si="14"/>
        <v>2.0253452847684317E-2</v>
      </c>
      <c r="AJ54" s="74">
        <v>25461</v>
      </c>
      <c r="AK54" s="31">
        <f t="shared" si="15"/>
        <v>-6.8960675252947023E-3</v>
      </c>
      <c r="AP54" s="76">
        <v>45838</v>
      </c>
      <c r="AQ54" s="74">
        <v>317.3</v>
      </c>
      <c r="AR54" s="31">
        <f t="shared" si="16"/>
        <v>-1.9316952557564493E-2</v>
      </c>
      <c r="AT54" s="74">
        <v>25461</v>
      </c>
      <c r="AU54" s="31">
        <f t="shared" si="17"/>
        <v>-6.8960675252947023E-3</v>
      </c>
      <c r="AZ54" s="76">
        <v>46209</v>
      </c>
      <c r="BA54" s="74">
        <v>580.70000000000005</v>
      </c>
      <c r="BB54" s="31">
        <f t="shared" si="18"/>
        <v>1.9397875888703675E-2</v>
      </c>
      <c r="BD54" s="77">
        <v>24206.9</v>
      </c>
      <c r="BE54" s="31">
        <f t="shared" si="19"/>
        <v>-2.6348479760699428E-3</v>
      </c>
    </row>
    <row r="55" spans="2:57" x14ac:dyDescent="0.2">
      <c r="B55" s="75">
        <v>45845</v>
      </c>
      <c r="C55" s="74">
        <v>3350.61</v>
      </c>
      <c r="D55" s="31">
        <f t="shared" si="10"/>
        <v>-8.54872783051569E-2</v>
      </c>
      <c r="F55" s="74">
        <v>25149.85</v>
      </c>
      <c r="G55" s="31">
        <f t="shared" si="11"/>
        <v>-1.2220651192019205E-2</v>
      </c>
      <c r="V55" s="76">
        <v>45845</v>
      </c>
      <c r="W55" s="74">
        <v>580.45000000000005</v>
      </c>
      <c r="X55" s="31">
        <f t="shared" si="12"/>
        <v>-5.9766414357639297E-3</v>
      </c>
      <c r="Z55" s="74">
        <v>25149.85</v>
      </c>
      <c r="AA55" s="31">
        <f t="shared" si="13"/>
        <v>-1.2220651192019205E-2</v>
      </c>
      <c r="AF55" s="76">
        <v>45845</v>
      </c>
      <c r="AG55" s="74">
        <v>1905.55</v>
      </c>
      <c r="AH55" s="31">
        <f t="shared" si="14"/>
        <v>1.2793120309543493E-2</v>
      </c>
      <c r="AJ55" s="74">
        <v>25149.85</v>
      </c>
      <c r="AK55" s="31">
        <f t="shared" si="15"/>
        <v>-1.2220651192019205E-2</v>
      </c>
      <c r="AP55" s="76">
        <v>45845</v>
      </c>
      <c r="AQ55" s="74">
        <v>316.89999999999998</v>
      </c>
      <c r="AR55" s="31">
        <f t="shared" si="16"/>
        <v>-1.2606366214940046E-3</v>
      </c>
      <c r="AT55" s="74">
        <v>25149.85</v>
      </c>
      <c r="AU55" s="31">
        <f t="shared" si="17"/>
        <v>-1.2220651192019205E-2</v>
      </c>
      <c r="AZ55" s="76">
        <v>46216</v>
      </c>
      <c r="BA55" s="74">
        <v>599.04999999999995</v>
      </c>
      <c r="BB55" s="31">
        <f t="shared" si="18"/>
        <v>3.1599793352849792E-2</v>
      </c>
      <c r="BD55" s="77">
        <v>24334.3</v>
      </c>
      <c r="BE55" s="31">
        <f t="shared" si="19"/>
        <v>5.262962213253175E-3</v>
      </c>
    </row>
    <row r="56" spans="2:57" x14ac:dyDescent="0.2">
      <c r="B56" s="75">
        <v>45852</v>
      </c>
      <c r="C56" s="74">
        <v>3391.77</v>
      </c>
      <c r="D56" s="31">
        <f t="shared" si="10"/>
        <v>1.2284330315972314E-2</v>
      </c>
      <c r="F56" s="74">
        <v>24968.400000000001</v>
      </c>
      <c r="G56" s="31">
        <f t="shared" si="11"/>
        <v>-7.214754759968578E-3</v>
      </c>
      <c r="V56" s="76">
        <v>45852</v>
      </c>
      <c r="W56" s="74">
        <v>588.42999999999995</v>
      </c>
      <c r="X56" s="31">
        <f t="shared" si="12"/>
        <v>1.3747954173485954E-2</v>
      </c>
      <c r="Z56" s="74">
        <v>24968.400000000001</v>
      </c>
      <c r="AA56" s="31">
        <f t="shared" si="13"/>
        <v>-7.214754759968578E-3</v>
      </c>
      <c r="AF56" s="76">
        <v>45852</v>
      </c>
      <c r="AG56" s="74">
        <v>1872.96</v>
      </c>
      <c r="AH56" s="31">
        <f t="shared" si="14"/>
        <v>-1.7102673768728094E-2</v>
      </c>
      <c r="AJ56" s="74">
        <v>24968.400000000001</v>
      </c>
      <c r="AK56" s="31">
        <f t="shared" si="15"/>
        <v>-7.214754759968578E-3</v>
      </c>
      <c r="AP56" s="76">
        <v>45852</v>
      </c>
      <c r="AQ56" s="74">
        <v>326.89999999999998</v>
      </c>
      <c r="AR56" s="31">
        <f t="shared" si="16"/>
        <v>3.1555695803092476E-2</v>
      </c>
      <c r="AT56" s="74">
        <v>24968.400000000001</v>
      </c>
      <c r="AU56" s="31">
        <f t="shared" si="17"/>
        <v>-7.214754759968578E-3</v>
      </c>
      <c r="AZ56" s="76">
        <v>46223</v>
      </c>
      <c r="BA56" s="74">
        <v>772.4</v>
      </c>
      <c r="BB56" s="31">
        <f t="shared" si="18"/>
        <v>0.28937484350221188</v>
      </c>
      <c r="BD56" s="77">
        <v>23767.45</v>
      </c>
      <c r="BE56" s="31">
        <f t="shared" si="19"/>
        <v>-2.3294280090242925E-2</v>
      </c>
    </row>
    <row r="57" spans="2:57" x14ac:dyDescent="0.2">
      <c r="B57" s="75">
        <v>45859</v>
      </c>
      <c r="C57" s="74">
        <v>3451.47</v>
      </c>
      <c r="D57" s="31">
        <f t="shared" si="10"/>
        <v>1.7601429342201769E-2</v>
      </c>
      <c r="F57" s="74">
        <v>24837</v>
      </c>
      <c r="G57" s="31">
        <f t="shared" si="11"/>
        <v>-5.2626519921180615E-3</v>
      </c>
      <c r="V57" s="76">
        <v>45859</v>
      </c>
      <c r="W57" s="74">
        <v>592.27</v>
      </c>
      <c r="X57" s="31">
        <f t="shared" si="12"/>
        <v>6.5258399469776407E-3</v>
      </c>
      <c r="Z57" s="74">
        <v>24837</v>
      </c>
      <c r="AA57" s="31">
        <f t="shared" si="13"/>
        <v>-5.2626519921180615E-3</v>
      </c>
      <c r="AF57" s="76">
        <v>45859</v>
      </c>
      <c r="AG57" s="74">
        <v>1828.49</v>
      </c>
      <c r="AH57" s="31">
        <f t="shared" si="14"/>
        <v>-2.374316589783021E-2</v>
      </c>
      <c r="AJ57" s="74">
        <v>24837</v>
      </c>
      <c r="AK57" s="31">
        <f t="shared" si="15"/>
        <v>-5.2626519921180615E-3</v>
      </c>
      <c r="AP57" s="76">
        <v>45859</v>
      </c>
      <c r="AQ57" s="74">
        <v>301.8</v>
      </c>
      <c r="AR57" s="31">
        <f t="shared" si="16"/>
        <v>-7.6781890486387172E-2</v>
      </c>
      <c r="AT57" s="74">
        <v>24837</v>
      </c>
      <c r="AU57" s="31">
        <f t="shared" si="17"/>
        <v>-5.2626519921180615E-3</v>
      </c>
      <c r="AZ57" s="76">
        <v>46230</v>
      </c>
      <c r="BA57" s="74">
        <v>816.2</v>
      </c>
      <c r="BB57" s="31">
        <f t="shared" si="18"/>
        <v>5.6706369756602815E-2</v>
      </c>
      <c r="BD57" s="77">
        <v>24383.599999999999</v>
      </c>
      <c r="BE57" s="31">
        <f t="shared" si="19"/>
        <v>2.5924110495656683E-2</v>
      </c>
    </row>
    <row r="58" spans="2:57" x14ac:dyDescent="0.2">
      <c r="B58" s="75">
        <v>45866</v>
      </c>
      <c r="C58" s="74">
        <v>3305.15</v>
      </c>
      <c r="D58" s="31">
        <f t="shared" si="10"/>
        <v>-4.2393530872352869E-2</v>
      </c>
      <c r="F58" s="74">
        <v>24565.35</v>
      </c>
      <c r="G58" s="31">
        <f t="shared" si="11"/>
        <v>-1.0937311269477057E-2</v>
      </c>
      <c r="V58" s="76">
        <v>45866</v>
      </c>
      <c r="W58" s="74">
        <v>581.15</v>
      </c>
      <c r="X58" s="31">
        <f t="shared" si="12"/>
        <v>-1.8775220760801625E-2</v>
      </c>
      <c r="Z58" s="74">
        <v>24565.35</v>
      </c>
      <c r="AA58" s="31">
        <f t="shared" si="13"/>
        <v>-1.0937311269477057E-2</v>
      </c>
      <c r="AF58" s="76">
        <v>45866</v>
      </c>
      <c r="AG58" s="74">
        <v>1908.16</v>
      </c>
      <c r="AH58" s="31">
        <f t="shared" si="14"/>
        <v>4.3571471542092066E-2</v>
      </c>
      <c r="AJ58" s="74">
        <v>24565.35</v>
      </c>
      <c r="AK58" s="31">
        <f t="shared" si="15"/>
        <v>-1.0937311269477057E-2</v>
      </c>
      <c r="AP58" s="76">
        <v>45866</v>
      </c>
      <c r="AQ58" s="74">
        <v>274.39999999999998</v>
      </c>
      <c r="AR58" s="31">
        <f t="shared" si="16"/>
        <v>-9.0788601722995521E-2</v>
      </c>
      <c r="AT58" s="74">
        <v>24565.35</v>
      </c>
      <c r="AU58" s="31">
        <f t="shared" si="17"/>
        <v>-1.0937311269477057E-2</v>
      </c>
      <c r="AZ58" s="76">
        <v>46237</v>
      </c>
      <c r="BA58" s="74">
        <v>814.5</v>
      </c>
      <c r="BB58" s="31">
        <f t="shared" si="18"/>
        <v>-2.0828228375399105E-3</v>
      </c>
      <c r="BD58" s="77">
        <v>24570.65</v>
      </c>
      <c r="BE58" s="31">
        <f t="shared" si="19"/>
        <v>7.6711396184321323E-3</v>
      </c>
    </row>
    <row r="59" spans="2:57" x14ac:dyDescent="0.2">
      <c r="B59" s="75">
        <v>45873</v>
      </c>
      <c r="C59" s="74">
        <v>3448.88</v>
      </c>
      <c r="D59" s="31">
        <f t="shared" si="10"/>
        <v>4.3486679878371737E-2</v>
      </c>
      <c r="F59" s="74">
        <v>24363.3</v>
      </c>
      <c r="G59" s="31">
        <f t="shared" si="11"/>
        <v>-8.2249998473459263E-3</v>
      </c>
      <c r="V59" s="76">
        <v>45873</v>
      </c>
      <c r="W59" s="74">
        <v>526.55999999999995</v>
      </c>
      <c r="X59" s="31">
        <f t="shared" si="12"/>
        <v>-9.3934440333820923E-2</v>
      </c>
      <c r="Z59" s="74">
        <v>24363.3</v>
      </c>
      <c r="AA59" s="31">
        <f t="shared" si="13"/>
        <v>-8.2249998473459263E-3</v>
      </c>
      <c r="AF59" s="76">
        <v>45873</v>
      </c>
      <c r="AG59" s="74">
        <v>1968.89</v>
      </c>
      <c r="AH59" s="31">
        <f t="shared" si="14"/>
        <v>3.1826471574710746E-2</v>
      </c>
      <c r="AJ59" s="74">
        <v>24363.3</v>
      </c>
      <c r="AK59" s="31">
        <f t="shared" si="15"/>
        <v>-8.2249998473459263E-3</v>
      </c>
      <c r="AP59" s="76">
        <v>45873</v>
      </c>
      <c r="AQ59" s="74">
        <v>275.7</v>
      </c>
      <c r="AR59" s="31">
        <f t="shared" si="16"/>
        <v>4.737609329446002E-3</v>
      </c>
      <c r="AT59" s="74">
        <v>24363.3</v>
      </c>
      <c r="AU59" s="31">
        <f t="shared" si="17"/>
        <v>-8.2249998473459263E-3</v>
      </c>
      <c r="AZ59" s="76">
        <v>46244</v>
      </c>
      <c r="BA59" s="74">
        <v>894.5</v>
      </c>
      <c r="BB59" s="31">
        <f t="shared" si="18"/>
        <v>9.8219766728053992E-2</v>
      </c>
      <c r="BD59" s="77">
        <v>24435.95</v>
      </c>
      <c r="BE59" s="31">
        <f t="shared" si="19"/>
        <v>-5.4821504518602904E-3</v>
      </c>
    </row>
    <row r="60" spans="2:57" x14ac:dyDescent="0.2">
      <c r="B60" s="75">
        <v>45880</v>
      </c>
      <c r="C60" s="74">
        <v>3477.99</v>
      </c>
      <c r="D60" s="31">
        <f t="shared" si="10"/>
        <v>8.4404212381989918E-3</v>
      </c>
      <c r="F60" s="74">
        <v>24631.3</v>
      </c>
      <c r="G60" s="31">
        <f t="shared" si="11"/>
        <v>1.100015186776826E-2</v>
      </c>
      <c r="V60" s="76">
        <v>45880</v>
      </c>
      <c r="W60" s="74">
        <v>531.94000000000005</v>
      </c>
      <c r="X60" s="31">
        <f t="shared" si="12"/>
        <v>1.0217259191735328E-2</v>
      </c>
      <c r="Z60" s="74">
        <v>24631.3</v>
      </c>
      <c r="AA60" s="31">
        <f t="shared" si="13"/>
        <v>1.100015186776826E-2</v>
      </c>
      <c r="AF60" s="76">
        <v>45880</v>
      </c>
      <c r="AG60" s="74">
        <v>1998.21</v>
      </c>
      <c r="AH60" s="31">
        <f t="shared" si="14"/>
        <v>1.4891639451670713E-2</v>
      </c>
      <c r="AJ60" s="74">
        <v>24631.3</v>
      </c>
      <c r="AK60" s="31">
        <f t="shared" si="15"/>
        <v>1.100015186776826E-2</v>
      </c>
      <c r="AP60" s="76">
        <v>45880</v>
      </c>
      <c r="AQ60" s="74">
        <v>273.14999999999998</v>
      </c>
      <c r="AR60" s="31">
        <f t="shared" si="16"/>
        <v>-9.2491838955386374E-3</v>
      </c>
      <c r="AT60" s="74">
        <v>24631.3</v>
      </c>
      <c r="AU60" s="31">
        <f t="shared" si="17"/>
        <v>1.100015186776826E-2</v>
      </c>
      <c r="AZ60" s="76"/>
      <c r="BA60" s="74"/>
      <c r="BB60" s="31"/>
      <c r="BD60" s="77"/>
      <c r="BE60" s="31"/>
    </row>
    <row r="61" spans="2:57" x14ac:dyDescent="0.2">
      <c r="B61" s="75">
        <v>45887</v>
      </c>
      <c r="C61" s="74">
        <v>3609.16</v>
      </c>
      <c r="D61" s="31">
        <f t="shared" si="10"/>
        <v>3.7714312002047112E-2</v>
      </c>
      <c r="F61" s="74">
        <v>24870.1</v>
      </c>
      <c r="G61" s="31">
        <f t="shared" si="11"/>
        <v>9.6949815884666002E-3</v>
      </c>
      <c r="V61" s="76">
        <v>45887</v>
      </c>
      <c r="W61" s="74">
        <v>509.66</v>
      </c>
      <c r="X61" s="31">
        <f t="shared" si="12"/>
        <v>-4.1884423055231879E-2</v>
      </c>
      <c r="Z61" s="74">
        <v>24870.1</v>
      </c>
      <c r="AA61" s="31">
        <f t="shared" si="13"/>
        <v>9.6949815884666002E-3</v>
      </c>
      <c r="AF61" s="76">
        <v>45887</v>
      </c>
      <c r="AG61" s="74">
        <v>2109.6999999999998</v>
      </c>
      <c r="AH61" s="31">
        <f t="shared" si="14"/>
        <v>5.5794936468138934E-2</v>
      </c>
      <c r="AJ61" s="74">
        <v>24870.1</v>
      </c>
      <c r="AK61" s="31">
        <f t="shared" si="15"/>
        <v>9.6949815884666002E-3</v>
      </c>
      <c r="AP61" s="76">
        <v>45887</v>
      </c>
      <c r="AQ61" s="74">
        <v>304.95</v>
      </c>
      <c r="AR61" s="31">
        <f t="shared" si="16"/>
        <v>0.11641954969796831</v>
      </c>
      <c r="AT61" s="74">
        <v>24870.1</v>
      </c>
      <c r="AU61" s="31">
        <f t="shared" si="17"/>
        <v>9.6949815884666002E-3</v>
      </c>
      <c r="AZ61" s="76"/>
      <c r="BA61" s="74"/>
      <c r="BB61" s="31"/>
      <c r="BD61" s="74"/>
      <c r="BE61" s="31"/>
    </row>
    <row r="62" spans="2:57" x14ac:dyDescent="0.2">
      <c r="B62" s="75">
        <v>45894</v>
      </c>
      <c r="C62" s="74">
        <v>3616.93</v>
      </c>
      <c r="D62" s="31">
        <f t="shared" si="10"/>
        <v>2.1528555120859938E-3</v>
      </c>
      <c r="F62" s="74">
        <v>24426.85</v>
      </c>
      <c r="G62" s="31">
        <f t="shared" si="11"/>
        <v>-1.7822606262138052E-2</v>
      </c>
      <c r="V62" s="76">
        <v>45894</v>
      </c>
      <c r="W62" s="74">
        <v>502.68</v>
      </c>
      <c r="X62" s="31">
        <f t="shared" si="12"/>
        <v>-1.3695404779657028E-2</v>
      </c>
      <c r="Z62" s="74">
        <v>24426.85</v>
      </c>
      <c r="AA62" s="31">
        <f t="shared" si="13"/>
        <v>-1.7822606262138052E-2</v>
      </c>
      <c r="AF62" s="76">
        <v>45894</v>
      </c>
      <c r="AG62" s="74">
        <v>2249.11</v>
      </c>
      <c r="AH62" s="31">
        <f t="shared" si="14"/>
        <v>6.608048537706801E-2</v>
      </c>
      <c r="AJ62" s="74">
        <v>24426.85</v>
      </c>
      <c r="AK62" s="31">
        <f t="shared" si="15"/>
        <v>-1.7822606262138052E-2</v>
      </c>
      <c r="AP62" s="76">
        <v>45894</v>
      </c>
      <c r="AQ62" s="74">
        <v>287.89999999999998</v>
      </c>
      <c r="AR62" s="31">
        <f t="shared" si="16"/>
        <v>-5.5910805050008228E-2</v>
      </c>
      <c r="AT62" s="74">
        <v>24426.85</v>
      </c>
      <c r="AU62" s="31">
        <f t="shared" si="17"/>
        <v>-1.7822606262138052E-2</v>
      </c>
      <c r="AZ62" s="76"/>
      <c r="BA62" s="74"/>
      <c r="BB62" s="31"/>
      <c r="BD62" s="74"/>
      <c r="BE62" s="31"/>
    </row>
    <row r="63" spans="2:57" x14ac:dyDescent="0.2">
      <c r="B63" s="75">
        <v>45901</v>
      </c>
      <c r="C63" s="74">
        <v>3653.31</v>
      </c>
      <c r="D63" s="31">
        <f t="shared" si="10"/>
        <v>1.0058253822993635E-2</v>
      </c>
      <c r="F63" s="74">
        <v>24741</v>
      </c>
      <c r="G63" s="31">
        <f t="shared" si="11"/>
        <v>1.2860847796584585E-2</v>
      </c>
      <c r="V63" s="76">
        <v>45901</v>
      </c>
      <c r="W63" s="74">
        <v>501.95</v>
      </c>
      <c r="X63" s="31">
        <f t="shared" si="12"/>
        <v>-1.4522161215883012E-3</v>
      </c>
      <c r="Z63" s="74">
        <v>24741</v>
      </c>
      <c r="AA63" s="31">
        <f t="shared" si="13"/>
        <v>1.2860847796584585E-2</v>
      </c>
      <c r="AF63" s="76">
        <v>45901</v>
      </c>
      <c r="AG63" s="74">
        <v>2189.77</v>
      </c>
      <c r="AH63" s="31">
        <f t="shared" si="14"/>
        <v>-2.6383769579967242E-2</v>
      </c>
      <c r="AJ63" s="74">
        <v>24741</v>
      </c>
      <c r="AK63" s="31">
        <f t="shared" si="15"/>
        <v>1.2860847796584585E-2</v>
      </c>
      <c r="AP63" s="76">
        <v>45901</v>
      </c>
      <c r="AQ63" s="74">
        <v>278.95</v>
      </c>
      <c r="AR63" s="31">
        <f t="shared" si="16"/>
        <v>-3.1087183049669953E-2</v>
      </c>
      <c r="AT63" s="74">
        <v>24741</v>
      </c>
      <c r="AU63" s="31">
        <f t="shared" si="17"/>
        <v>1.2860847796584585E-2</v>
      </c>
      <c r="AZ63" s="76"/>
      <c r="BA63" s="74"/>
      <c r="BB63" s="31"/>
      <c r="BD63" s="74"/>
      <c r="BE63" s="31"/>
    </row>
    <row r="64" spans="2:57" x14ac:dyDescent="0.2">
      <c r="B64" s="75">
        <v>45908</v>
      </c>
      <c r="C64" s="74">
        <v>3560.22</v>
      </c>
      <c r="D64" s="31">
        <f t="shared" si="10"/>
        <v>-2.5481002159685406E-2</v>
      </c>
      <c r="F64" s="74">
        <v>25114</v>
      </c>
      <c r="G64" s="31">
        <f t="shared" si="11"/>
        <v>1.5076189321369338E-2</v>
      </c>
      <c r="V64" s="76">
        <v>45908</v>
      </c>
      <c r="W64" s="74">
        <v>502.75</v>
      </c>
      <c r="X64" s="31">
        <f t="shared" si="12"/>
        <v>1.5937842414583958E-3</v>
      </c>
      <c r="Z64" s="74">
        <v>25114</v>
      </c>
      <c r="AA64" s="31">
        <f t="shared" si="13"/>
        <v>1.5076189321369338E-2</v>
      </c>
      <c r="AF64" s="76">
        <v>45908</v>
      </c>
      <c r="AG64" s="74">
        <v>2180.8000000000002</v>
      </c>
      <c r="AH64" s="31">
        <f t="shared" si="14"/>
        <v>-4.0963206181470202E-3</v>
      </c>
      <c r="AJ64" s="74">
        <v>25114</v>
      </c>
      <c r="AK64" s="31">
        <f t="shared" si="15"/>
        <v>1.5076189321369338E-2</v>
      </c>
      <c r="AP64" s="76">
        <v>45908</v>
      </c>
      <c r="AQ64" s="74">
        <v>282.25</v>
      </c>
      <c r="AR64" s="31">
        <f t="shared" si="16"/>
        <v>1.1830077074744594E-2</v>
      </c>
      <c r="AT64" s="74">
        <v>25114</v>
      </c>
      <c r="AU64" s="31">
        <f t="shared" si="17"/>
        <v>1.5076189321369338E-2</v>
      </c>
      <c r="AZ64" s="76"/>
      <c r="BA64" s="74"/>
      <c r="BB64" s="31"/>
      <c r="BD64" s="74"/>
      <c r="BE64" s="31"/>
    </row>
    <row r="65" spans="2:57" x14ac:dyDescent="0.2">
      <c r="B65" s="75">
        <v>45915</v>
      </c>
      <c r="C65" s="74">
        <v>3455.86</v>
      </c>
      <c r="D65" s="31">
        <f t="shared" si="10"/>
        <v>-2.931279527669628E-2</v>
      </c>
      <c r="F65" s="74">
        <v>25327.05</v>
      </c>
      <c r="G65" s="31">
        <f t="shared" si="11"/>
        <v>8.4833160786812467E-3</v>
      </c>
      <c r="V65" s="76">
        <v>45915</v>
      </c>
      <c r="W65" s="74">
        <v>511.4</v>
      </c>
      <c r="X65" s="31">
        <f t="shared" si="12"/>
        <v>1.7205370462456404E-2</v>
      </c>
      <c r="Z65" s="74">
        <v>25327.05</v>
      </c>
      <c r="AA65" s="31">
        <f t="shared" si="13"/>
        <v>8.4833160786812467E-3</v>
      </c>
      <c r="AF65" s="76">
        <v>45915</v>
      </c>
      <c r="AG65" s="74">
        <v>2148.4899999999998</v>
      </c>
      <c r="AH65" s="31">
        <f t="shared" si="14"/>
        <v>-1.4815663976522564E-2</v>
      </c>
      <c r="AJ65" s="74">
        <v>25327.05</v>
      </c>
      <c r="AK65" s="31">
        <f t="shared" si="15"/>
        <v>8.4833160786812467E-3</v>
      </c>
      <c r="AP65" s="76">
        <v>45915</v>
      </c>
      <c r="AQ65" s="74">
        <v>293</v>
      </c>
      <c r="AR65" s="31">
        <f t="shared" si="16"/>
        <v>3.8086802480070903E-2</v>
      </c>
      <c r="AT65" s="74">
        <v>25327.05</v>
      </c>
      <c r="AU65" s="31">
        <f t="shared" si="17"/>
        <v>8.4833160786812467E-3</v>
      </c>
      <c r="AZ65" s="76"/>
      <c r="BA65" s="74"/>
      <c r="BB65" s="31"/>
      <c r="BD65" s="74"/>
      <c r="BE65" s="31"/>
    </row>
    <row r="66" spans="2:57" x14ac:dyDescent="0.2">
      <c r="B66" s="75">
        <v>45922</v>
      </c>
      <c r="C66" s="74">
        <v>3316.42</v>
      </c>
      <c r="D66" s="31">
        <f t="shared" si="10"/>
        <v>-4.0348856724520155E-2</v>
      </c>
      <c r="F66" s="74">
        <v>24654.7</v>
      </c>
      <c r="G66" s="31">
        <f t="shared" si="11"/>
        <v>-2.6546715863079107E-2</v>
      </c>
      <c r="V66" s="76">
        <v>45922</v>
      </c>
      <c r="W66" s="74">
        <v>455.8</v>
      </c>
      <c r="X66" s="31">
        <f t="shared" si="12"/>
        <v>-0.10872115760657008</v>
      </c>
      <c r="Z66" s="74">
        <v>24654.7</v>
      </c>
      <c r="AA66" s="31">
        <f t="shared" si="13"/>
        <v>-2.6546715863079107E-2</v>
      </c>
      <c r="AF66" s="76">
        <v>45922</v>
      </c>
      <c r="AG66" s="74">
        <v>2010.68</v>
      </c>
      <c r="AH66" s="31">
        <f t="shared" si="14"/>
        <v>-6.4142723494174825E-2</v>
      </c>
      <c r="AJ66" s="74">
        <v>24654.7</v>
      </c>
      <c r="AK66" s="31">
        <f t="shared" si="15"/>
        <v>-2.6546715863079107E-2</v>
      </c>
      <c r="AP66" s="76">
        <v>45922</v>
      </c>
      <c r="AQ66" s="74">
        <v>272.5</v>
      </c>
      <c r="AR66" s="31">
        <f t="shared" si="16"/>
        <v>-6.9965870307167277E-2</v>
      </c>
      <c r="AT66" s="74">
        <v>24654.7</v>
      </c>
      <c r="AU66" s="31">
        <f t="shared" si="17"/>
        <v>-2.6546715863079107E-2</v>
      </c>
      <c r="AZ66" s="76"/>
      <c r="BA66" s="74"/>
      <c r="BB66" s="31"/>
      <c r="BD66" s="74"/>
      <c r="BE66" s="31"/>
    </row>
    <row r="67" spans="2:57" x14ac:dyDescent="0.2">
      <c r="B67" s="75">
        <v>45929</v>
      </c>
      <c r="C67" s="74">
        <v>3442.01</v>
      </c>
      <c r="D67" s="31">
        <f t="shared" si="10"/>
        <v>3.7869148057242397E-2</v>
      </c>
      <c r="F67" s="74">
        <v>24894.25</v>
      </c>
      <c r="G67" s="31">
        <f t="shared" si="11"/>
        <v>9.7162001565624934E-3</v>
      </c>
      <c r="V67" s="76">
        <v>45929</v>
      </c>
      <c r="W67" s="74">
        <v>492.15</v>
      </c>
      <c r="X67" s="31">
        <f t="shared" si="12"/>
        <v>7.9749890302764248E-2</v>
      </c>
      <c r="Z67" s="74">
        <v>24894.25</v>
      </c>
      <c r="AA67" s="31">
        <f t="shared" si="13"/>
        <v>9.7162001565624934E-3</v>
      </c>
      <c r="AF67" s="76">
        <v>45929</v>
      </c>
      <c r="AG67" s="74">
        <v>2081.48</v>
      </c>
      <c r="AH67" s="31">
        <f t="shared" si="14"/>
        <v>3.5211968090397283E-2</v>
      </c>
      <c r="AJ67" s="74">
        <v>24894.25</v>
      </c>
      <c r="AK67" s="31">
        <f t="shared" si="15"/>
        <v>9.7162001565624934E-3</v>
      </c>
      <c r="AP67" s="76">
        <v>45929</v>
      </c>
      <c r="AQ67" s="74">
        <v>284.45</v>
      </c>
      <c r="AR67" s="31">
        <f t="shared" si="16"/>
        <v>4.3853211009174276E-2</v>
      </c>
      <c r="AT67" s="74">
        <v>24894.25</v>
      </c>
      <c r="AU67" s="31">
        <f t="shared" si="17"/>
        <v>9.7162001565624934E-3</v>
      </c>
      <c r="AZ67" s="76"/>
      <c r="BA67" s="74"/>
      <c r="BB67" s="31"/>
      <c r="BD67" s="74"/>
      <c r="BE67" s="31"/>
    </row>
    <row r="68" spans="2:57" x14ac:dyDescent="0.2">
      <c r="B68" s="75">
        <v>45936</v>
      </c>
      <c r="C68" s="74">
        <v>3520.35</v>
      </c>
      <c r="D68" s="31">
        <f t="shared" si="10"/>
        <v>2.275995711807921E-2</v>
      </c>
      <c r="F68" s="74">
        <v>25285.35</v>
      </c>
      <c r="G68" s="31">
        <f t="shared" si="11"/>
        <v>1.5710455225604214E-2</v>
      </c>
      <c r="V68" s="76">
        <v>45936</v>
      </c>
      <c r="W68" s="74">
        <v>484.85</v>
      </c>
      <c r="X68" s="31">
        <f t="shared" si="12"/>
        <v>-1.4832876155643548E-2</v>
      </c>
      <c r="Z68" s="74">
        <v>25285.35</v>
      </c>
      <c r="AA68" s="31">
        <f t="shared" si="13"/>
        <v>1.5710455225604214E-2</v>
      </c>
      <c r="AF68" s="76">
        <v>45936</v>
      </c>
      <c r="AG68" s="74">
        <v>2016.16</v>
      </c>
      <c r="AH68" s="31">
        <f t="shared" si="14"/>
        <v>-3.1381516997521008E-2</v>
      </c>
      <c r="AJ68" s="74">
        <v>25285.35</v>
      </c>
      <c r="AK68" s="31">
        <f t="shared" si="15"/>
        <v>1.5710455225604214E-2</v>
      </c>
      <c r="AP68" s="76">
        <v>45936</v>
      </c>
      <c r="AQ68" s="74">
        <v>342.65</v>
      </c>
      <c r="AR68" s="31">
        <f t="shared" si="16"/>
        <v>0.20460537880119523</v>
      </c>
      <c r="AT68" s="74">
        <v>25285.35</v>
      </c>
      <c r="AU68" s="31">
        <f t="shared" si="17"/>
        <v>1.5710455225604214E-2</v>
      </c>
      <c r="AZ68" s="76"/>
      <c r="BA68" s="74"/>
      <c r="BB68" s="31"/>
      <c r="BD68" s="74"/>
      <c r="BE68" s="31"/>
    </row>
    <row r="69" spans="2:57" x14ac:dyDescent="0.2">
      <c r="B69" s="75">
        <v>45943</v>
      </c>
      <c r="C69" s="74">
        <v>3662.78</v>
      </c>
      <c r="D69" s="31">
        <f t="shared" si="10"/>
        <v>4.0459045265385685E-2</v>
      </c>
      <c r="F69" s="74">
        <v>25709.85</v>
      </c>
      <c r="G69" s="31">
        <f t="shared" si="11"/>
        <v>1.6788377459675319E-2</v>
      </c>
      <c r="V69" s="76">
        <v>45943</v>
      </c>
      <c r="W69" s="74">
        <v>489.85</v>
      </c>
      <c r="X69" s="31">
        <f t="shared" si="12"/>
        <v>1.0312467773538225E-2</v>
      </c>
      <c r="Z69" s="74">
        <v>25709.85</v>
      </c>
      <c r="AA69" s="31">
        <f t="shared" si="13"/>
        <v>1.6788377459675319E-2</v>
      </c>
      <c r="AF69" s="76">
        <v>45943</v>
      </c>
      <c r="AG69" s="74">
        <v>1957.42</v>
      </c>
      <c r="AH69" s="31">
        <f t="shared" si="14"/>
        <v>-2.9134592492659261E-2</v>
      </c>
      <c r="AJ69" s="74">
        <v>25709.85</v>
      </c>
      <c r="AK69" s="31">
        <f t="shared" si="15"/>
        <v>1.6788377459675319E-2</v>
      </c>
      <c r="AP69" s="76">
        <v>45943</v>
      </c>
      <c r="AQ69" s="74">
        <v>334.1</v>
      </c>
      <c r="AR69" s="31">
        <f t="shared" si="16"/>
        <v>-2.4952575514373132E-2</v>
      </c>
      <c r="AT69" s="74">
        <v>25709.85</v>
      </c>
      <c r="AU69" s="31">
        <f t="shared" si="17"/>
        <v>1.6788377459675319E-2</v>
      </c>
      <c r="AZ69" s="76"/>
      <c r="BA69" s="74"/>
      <c r="BB69" s="31"/>
      <c r="BD69" s="74"/>
      <c r="BE69" s="31"/>
    </row>
    <row r="70" spans="2:57" x14ac:dyDescent="0.2">
      <c r="B70" s="75">
        <v>45950</v>
      </c>
      <c r="C70" s="74">
        <v>3702.75</v>
      </c>
      <c r="D70" s="31">
        <f t="shared" si="10"/>
        <v>1.0912476315803721E-2</v>
      </c>
      <c r="F70" s="74">
        <v>25795.15</v>
      </c>
      <c r="G70" s="31">
        <f t="shared" si="11"/>
        <v>3.3177945417808274E-3</v>
      </c>
      <c r="V70" s="76">
        <v>45950</v>
      </c>
      <c r="W70" s="74">
        <v>495.3</v>
      </c>
      <c r="X70" s="31">
        <f t="shared" si="12"/>
        <v>1.1125854853526462E-2</v>
      </c>
      <c r="Z70" s="74">
        <v>25795.15</v>
      </c>
      <c r="AA70" s="31">
        <f t="shared" si="13"/>
        <v>3.3177945417808274E-3</v>
      </c>
      <c r="AF70" s="76">
        <v>45950</v>
      </c>
      <c r="AG70" s="74">
        <v>2033.81</v>
      </c>
      <c r="AH70" s="31">
        <f t="shared" si="14"/>
        <v>3.9025860571568538E-2</v>
      </c>
      <c r="AJ70" s="74">
        <v>25795.15</v>
      </c>
      <c r="AK70" s="31">
        <f t="shared" si="15"/>
        <v>3.3177945417808274E-3</v>
      </c>
      <c r="AP70" s="76">
        <v>45950</v>
      </c>
      <c r="AQ70" s="74">
        <v>365.6</v>
      </c>
      <c r="AR70" s="31">
        <f t="shared" si="16"/>
        <v>9.4283148757856816E-2</v>
      </c>
      <c r="AT70" s="74">
        <v>25795.15</v>
      </c>
      <c r="AU70" s="31">
        <f t="shared" si="17"/>
        <v>3.3177945417808274E-3</v>
      </c>
      <c r="AZ70" s="76"/>
      <c r="BA70" s="74"/>
      <c r="BB70" s="31"/>
      <c r="BD70" s="74"/>
      <c r="BE70" s="31"/>
    </row>
    <row r="71" spans="2:57" x14ac:dyDescent="0.2">
      <c r="B71" s="75">
        <v>45957</v>
      </c>
      <c r="C71" s="74">
        <v>3734.45</v>
      </c>
      <c r="D71" s="31">
        <f t="shared" si="10"/>
        <v>8.561204510161291E-3</v>
      </c>
      <c r="F71" s="74">
        <v>25722.1</v>
      </c>
      <c r="G71" s="31">
        <f t="shared" si="11"/>
        <v>-2.8319277073404203E-3</v>
      </c>
      <c r="V71" s="76">
        <v>45957</v>
      </c>
      <c r="W71" s="74">
        <v>509.7</v>
      </c>
      <c r="X71" s="31">
        <f t="shared" si="12"/>
        <v>2.9073288915808515E-2</v>
      </c>
      <c r="Z71" s="74">
        <v>25722.1</v>
      </c>
      <c r="AA71" s="31">
        <f t="shared" si="13"/>
        <v>-2.8319277073404203E-3</v>
      </c>
      <c r="AF71" s="76">
        <v>45957</v>
      </c>
      <c r="AG71" s="74">
        <v>2163.5500000000002</v>
      </c>
      <c r="AH71" s="31">
        <f t="shared" si="14"/>
        <v>6.379160295209485E-2</v>
      </c>
      <c r="AJ71" s="74">
        <v>25722.1</v>
      </c>
      <c r="AK71" s="31">
        <f t="shared" si="15"/>
        <v>-2.8319277073404203E-3</v>
      </c>
      <c r="AP71" s="76">
        <v>45957</v>
      </c>
      <c r="AQ71" s="74">
        <v>355.85</v>
      </c>
      <c r="AR71" s="31">
        <f t="shared" si="16"/>
        <v>-2.6668490153172852E-2</v>
      </c>
      <c r="AT71" s="74">
        <v>25722.1</v>
      </c>
      <c r="AU71" s="31">
        <f t="shared" si="17"/>
        <v>-2.8319277073404203E-3</v>
      </c>
      <c r="AZ71" s="76"/>
      <c r="BA71" s="74"/>
      <c r="BB71" s="31"/>
      <c r="BD71" s="74"/>
      <c r="BE71" s="31"/>
    </row>
    <row r="72" spans="2:57" x14ac:dyDescent="0.2">
      <c r="B72" s="75">
        <v>45964</v>
      </c>
      <c r="C72" s="74">
        <v>3756.97</v>
      </c>
      <c r="D72" s="31">
        <f t="shared" si="10"/>
        <v>6.0303391396323569E-3</v>
      </c>
      <c r="F72" s="74">
        <v>25492.3</v>
      </c>
      <c r="G72" s="31">
        <f t="shared" si="11"/>
        <v>-8.9339517379996014E-3</v>
      </c>
      <c r="V72" s="76">
        <v>45964</v>
      </c>
      <c r="W72" s="74">
        <v>512.79999999999995</v>
      </c>
      <c r="X72" s="31">
        <f t="shared" si="12"/>
        <v>6.0820090249165126E-3</v>
      </c>
      <c r="Z72" s="74">
        <v>25492.3</v>
      </c>
      <c r="AA72" s="31">
        <f t="shared" si="13"/>
        <v>-8.9339517379996014E-3</v>
      </c>
      <c r="AF72" s="76">
        <v>45964</v>
      </c>
      <c r="AG72" s="74">
        <v>3379.85</v>
      </c>
      <c r="AH72" s="31">
        <f t="shared" si="14"/>
        <v>0.56217790205911555</v>
      </c>
      <c r="AJ72" s="74">
        <v>25492.3</v>
      </c>
      <c r="AK72" s="31">
        <f t="shared" si="15"/>
        <v>-8.9339517379996014E-3</v>
      </c>
      <c r="AP72" s="76">
        <v>45964</v>
      </c>
      <c r="AQ72" s="74">
        <v>352</v>
      </c>
      <c r="AR72" s="31">
        <f t="shared" si="16"/>
        <v>-1.0819165378670892E-2</v>
      </c>
      <c r="AT72" s="74">
        <v>25492.3</v>
      </c>
      <c r="AU72" s="31">
        <f t="shared" si="17"/>
        <v>-8.9339517379996014E-3</v>
      </c>
      <c r="AZ72" s="76"/>
      <c r="BA72" s="74"/>
      <c r="BB72" s="31"/>
      <c r="BD72" s="74"/>
      <c r="BE72" s="31"/>
    </row>
    <row r="73" spans="2:57" x14ac:dyDescent="0.2">
      <c r="B73" s="75">
        <v>45971</v>
      </c>
      <c r="C73" s="74">
        <v>3816.68</v>
      </c>
      <c r="D73" s="31">
        <f t="shared" ref="D73:D104" si="20">C73/C72-1</f>
        <v>1.5893126641948196E-2</v>
      </c>
      <c r="F73" s="74">
        <v>25910.05</v>
      </c>
      <c r="G73" s="31">
        <f t="shared" ref="G73:G104" si="21">F73/F72-1</f>
        <v>1.6387301263518728E-2</v>
      </c>
      <c r="V73" s="76">
        <v>45971</v>
      </c>
      <c r="W73" s="74">
        <v>495.5</v>
      </c>
      <c r="X73" s="31">
        <f t="shared" ref="X73:X104" si="22">W73/W72-1</f>
        <v>-3.3736349453978076E-2</v>
      </c>
      <c r="Z73" s="74">
        <v>25910.05</v>
      </c>
      <c r="AA73" s="31">
        <f t="shared" ref="AA73:AA104" si="23">Z73/Z72-1</f>
        <v>1.6387301263518728E-2</v>
      </c>
      <c r="AF73" s="76">
        <v>45971</v>
      </c>
      <c r="AG73" s="74">
        <v>3286.81</v>
      </c>
      <c r="AH73" s="31">
        <f t="shared" ref="AH73:AH104" si="24">AG73/AG72-1</f>
        <v>-2.752784886903259E-2</v>
      </c>
      <c r="AJ73" s="74">
        <v>25910.05</v>
      </c>
      <c r="AK73" s="31">
        <f t="shared" ref="AK73:AK104" si="25">AJ73/AJ72-1</f>
        <v>1.6387301263518728E-2</v>
      </c>
      <c r="AP73" s="76">
        <v>45971</v>
      </c>
      <c r="AQ73" s="74">
        <v>346.85</v>
      </c>
      <c r="AR73" s="31">
        <f t="shared" ref="AR73:AR104" si="26">AQ73/AQ72-1</f>
        <v>-1.4630681818181723E-2</v>
      </c>
      <c r="AT73" s="74">
        <v>25910.05</v>
      </c>
      <c r="AU73" s="31">
        <f t="shared" ref="AU73:AU104" si="27">AT73/AT72-1</f>
        <v>1.6387301263518728E-2</v>
      </c>
      <c r="AZ73" s="76"/>
      <c r="BA73" s="74"/>
      <c r="BB73" s="31"/>
      <c r="BD73" s="74"/>
      <c r="BE73" s="31"/>
    </row>
    <row r="74" spans="2:57" x14ac:dyDescent="0.2">
      <c r="B74" s="75">
        <v>45978</v>
      </c>
      <c r="C74" s="74">
        <v>3891.43</v>
      </c>
      <c r="D74" s="31">
        <f t="shared" si="20"/>
        <v>1.9585084418919152E-2</v>
      </c>
      <c r="F74" s="74">
        <v>26068.15</v>
      </c>
      <c r="G74" s="31">
        <f t="shared" si="21"/>
        <v>6.1018793865701415E-3</v>
      </c>
      <c r="V74" s="76">
        <v>45978</v>
      </c>
      <c r="W74" s="74">
        <v>496.45</v>
      </c>
      <c r="X74" s="31">
        <f t="shared" si="22"/>
        <v>1.9172552976791657E-3</v>
      </c>
      <c r="Z74" s="74">
        <v>26068.15</v>
      </c>
      <c r="AA74" s="31">
        <f t="shared" si="23"/>
        <v>6.1018793865701415E-3</v>
      </c>
      <c r="AF74" s="76">
        <v>45978</v>
      </c>
      <c r="AG74" s="74">
        <v>3016.96</v>
      </c>
      <c r="AH74" s="31">
        <f t="shared" si="24"/>
        <v>-8.2100882010216591E-2</v>
      </c>
      <c r="AJ74" s="74">
        <v>26068.15</v>
      </c>
      <c r="AK74" s="31">
        <f t="shared" si="25"/>
        <v>6.1018793865701415E-3</v>
      </c>
      <c r="AP74" s="76">
        <v>45978</v>
      </c>
      <c r="AQ74" s="74">
        <v>351.55</v>
      </c>
      <c r="AR74" s="31">
        <f t="shared" si="26"/>
        <v>1.3550526164047838E-2</v>
      </c>
      <c r="AT74" s="74">
        <v>26068.15</v>
      </c>
      <c r="AU74" s="31">
        <f t="shared" si="27"/>
        <v>6.1018793865701415E-3</v>
      </c>
      <c r="AZ74" s="76"/>
      <c r="BA74" s="74"/>
      <c r="BB74" s="31"/>
      <c r="BD74" s="74"/>
      <c r="BE74" s="31"/>
    </row>
    <row r="75" spans="2:57" x14ac:dyDescent="0.2">
      <c r="B75" s="75">
        <v>45985</v>
      </c>
      <c r="C75" s="74">
        <v>3894.92</v>
      </c>
      <c r="D75" s="31">
        <f t="shared" si="20"/>
        <v>8.9684254888311443E-4</v>
      </c>
      <c r="F75" s="74">
        <v>26202.95</v>
      </c>
      <c r="G75" s="31">
        <f t="shared" si="21"/>
        <v>5.1710612375637233E-3</v>
      </c>
      <c r="V75" s="76">
        <v>45985</v>
      </c>
      <c r="W75" s="74">
        <v>505.35</v>
      </c>
      <c r="X75" s="31">
        <f t="shared" si="22"/>
        <v>1.7927283714372022E-2</v>
      </c>
      <c r="Z75" s="74">
        <v>26202.95</v>
      </c>
      <c r="AA75" s="31">
        <f t="shared" si="23"/>
        <v>5.1710612375637233E-3</v>
      </c>
      <c r="AF75" s="76">
        <v>45985</v>
      </c>
      <c r="AG75" s="74">
        <v>3244.92</v>
      </c>
      <c r="AH75" s="31">
        <f t="shared" si="24"/>
        <v>7.5559503606279277E-2</v>
      </c>
      <c r="AJ75" s="74">
        <v>26202.95</v>
      </c>
      <c r="AK75" s="31">
        <f t="shared" si="25"/>
        <v>5.1710612375637233E-3</v>
      </c>
      <c r="AP75" s="76">
        <v>45985</v>
      </c>
      <c r="AQ75" s="74">
        <v>331.1</v>
      </c>
      <c r="AR75" s="31">
        <f t="shared" si="26"/>
        <v>-5.8170957189588979E-2</v>
      </c>
      <c r="AT75" s="74">
        <v>26202.95</v>
      </c>
      <c r="AU75" s="31">
        <f t="shared" si="27"/>
        <v>5.1710612375637233E-3</v>
      </c>
      <c r="AZ75" s="76"/>
      <c r="BA75" s="74"/>
      <c r="BB75" s="31"/>
      <c r="BD75" s="74"/>
      <c r="BE75" s="31"/>
    </row>
    <row r="76" spans="2:57" x14ac:dyDescent="0.2">
      <c r="B76" s="75">
        <v>45992</v>
      </c>
      <c r="C76" s="74">
        <v>3800.83</v>
      </c>
      <c r="D76" s="31">
        <f t="shared" si="20"/>
        <v>-2.4157107206309814E-2</v>
      </c>
      <c r="F76" s="74">
        <v>26186.45</v>
      </c>
      <c r="G76" s="31">
        <f t="shared" si="21"/>
        <v>-6.297000910202577E-4</v>
      </c>
      <c r="V76" s="76">
        <v>45992</v>
      </c>
      <c r="W76" s="74">
        <v>492.5</v>
      </c>
      <c r="X76" s="31">
        <f t="shared" si="22"/>
        <v>-2.54279212427031E-2</v>
      </c>
      <c r="Z76" s="74">
        <v>26186.45</v>
      </c>
      <c r="AA76" s="31">
        <f t="shared" si="23"/>
        <v>-6.297000910202577E-4</v>
      </c>
      <c r="AF76" s="76">
        <v>45992</v>
      </c>
      <c r="AG76" s="74">
        <v>3214.31</v>
      </c>
      <c r="AH76" s="31">
        <f t="shared" si="24"/>
        <v>-9.433206365642377E-3</v>
      </c>
      <c r="AJ76" s="74">
        <v>26186.45</v>
      </c>
      <c r="AK76" s="31">
        <f t="shared" si="25"/>
        <v>-6.297000910202577E-4</v>
      </c>
      <c r="AP76" s="76">
        <v>45992</v>
      </c>
      <c r="AQ76" s="74">
        <v>336.5</v>
      </c>
      <c r="AR76" s="31">
        <f t="shared" si="26"/>
        <v>1.6309272123225638E-2</v>
      </c>
      <c r="AT76" s="74">
        <v>26186.45</v>
      </c>
      <c r="AU76" s="31">
        <f t="shared" si="27"/>
        <v>-6.297000910202577E-4</v>
      </c>
      <c r="AZ76" s="76"/>
      <c r="BA76" s="74"/>
      <c r="BB76" s="31"/>
      <c r="BD76" s="74"/>
      <c r="BE76" s="31"/>
    </row>
    <row r="77" spans="2:57" x14ac:dyDescent="0.2">
      <c r="B77" s="75">
        <v>45999</v>
      </c>
      <c r="C77" s="74">
        <v>3867.51</v>
      </c>
      <c r="D77" s="31">
        <f t="shared" si="20"/>
        <v>1.7543536543334071E-2</v>
      </c>
      <c r="F77" s="74">
        <v>26046.95</v>
      </c>
      <c r="G77" s="31">
        <f t="shared" si="21"/>
        <v>-5.3271825696113995E-3</v>
      </c>
      <c r="V77" s="76">
        <v>45999</v>
      </c>
      <c r="W77" s="74">
        <v>479.3</v>
      </c>
      <c r="X77" s="31">
        <f t="shared" si="22"/>
        <v>-2.680203045685281E-2</v>
      </c>
      <c r="Z77" s="74">
        <v>26046.95</v>
      </c>
      <c r="AA77" s="31">
        <f t="shared" si="23"/>
        <v>-5.3271825696113995E-3</v>
      </c>
      <c r="AF77" s="76">
        <v>45999</v>
      </c>
      <c r="AG77" s="74">
        <v>3187.68</v>
      </c>
      <c r="AH77" s="31">
        <f t="shared" si="24"/>
        <v>-8.2848262924235527E-3</v>
      </c>
      <c r="AJ77" s="74">
        <v>26046.95</v>
      </c>
      <c r="AK77" s="31">
        <f t="shared" si="25"/>
        <v>-5.3271825696113995E-3</v>
      </c>
      <c r="AP77" s="76">
        <v>45999</v>
      </c>
      <c r="AQ77" s="74">
        <v>323.05</v>
      </c>
      <c r="AR77" s="31">
        <f t="shared" si="26"/>
        <v>-3.9970282317979167E-2</v>
      </c>
      <c r="AT77" s="74">
        <v>26046.95</v>
      </c>
      <c r="AU77" s="31">
        <f t="shared" si="27"/>
        <v>-5.3271825696113995E-3</v>
      </c>
      <c r="AZ77" s="76"/>
      <c r="BA77" s="74"/>
      <c r="BB77" s="31"/>
      <c r="BD77" s="74"/>
      <c r="BE77" s="31"/>
    </row>
    <row r="78" spans="2:57" x14ac:dyDescent="0.2">
      <c r="B78" s="75">
        <v>46006</v>
      </c>
      <c r="C78" s="74">
        <v>3917.25</v>
      </c>
      <c r="D78" s="31">
        <f t="shared" si="20"/>
        <v>1.2860988077600277E-2</v>
      </c>
      <c r="F78" s="74">
        <v>25966.400000000001</v>
      </c>
      <c r="G78" s="31">
        <f t="shared" si="21"/>
        <v>-3.0924925951022475E-3</v>
      </c>
      <c r="V78" s="76">
        <v>46006</v>
      </c>
      <c r="W78" s="74">
        <v>484.85</v>
      </c>
      <c r="X78" s="31">
        <f t="shared" si="22"/>
        <v>1.1579386605466313E-2</v>
      </c>
      <c r="Z78" s="74">
        <v>25966.400000000001</v>
      </c>
      <c r="AA78" s="31">
        <f t="shared" si="23"/>
        <v>-3.0924925951022475E-3</v>
      </c>
      <c r="AF78" s="76">
        <v>46006</v>
      </c>
      <c r="AG78" s="74">
        <v>3330.18</v>
      </c>
      <c r="AH78" s="31">
        <f t="shared" si="24"/>
        <v>4.4703357928022935E-2</v>
      </c>
      <c r="AJ78" s="74">
        <v>25966.400000000001</v>
      </c>
      <c r="AK78" s="31">
        <f t="shared" si="25"/>
        <v>-3.0924925951022475E-3</v>
      </c>
      <c r="AP78" s="76">
        <v>46006</v>
      </c>
      <c r="AQ78" s="74">
        <v>319.14999999999998</v>
      </c>
      <c r="AR78" s="31">
        <f t="shared" si="26"/>
        <v>-1.2072434607645954E-2</v>
      </c>
      <c r="AT78" s="74">
        <v>25966.400000000001</v>
      </c>
      <c r="AU78" s="31">
        <f t="shared" si="27"/>
        <v>-3.0924925951022475E-3</v>
      </c>
      <c r="AZ78" s="76"/>
      <c r="BA78" s="74"/>
      <c r="BB78" s="31"/>
      <c r="BD78" s="74"/>
      <c r="BE78" s="31"/>
    </row>
    <row r="79" spans="2:57" x14ac:dyDescent="0.2">
      <c r="B79" s="75">
        <v>46013</v>
      </c>
      <c r="C79" s="74">
        <v>3978.94</v>
      </c>
      <c r="D79" s="31">
        <f t="shared" si="20"/>
        <v>1.5748292807454156E-2</v>
      </c>
      <c r="F79" s="74">
        <v>26042.3</v>
      </c>
      <c r="G79" s="31">
        <f t="shared" si="21"/>
        <v>2.9230081952060782E-3</v>
      </c>
      <c r="V79" s="76">
        <v>46013</v>
      </c>
      <c r="W79" s="74">
        <v>491.15</v>
      </c>
      <c r="X79" s="31">
        <f t="shared" si="22"/>
        <v>1.2993709394657937E-2</v>
      </c>
      <c r="Z79" s="74">
        <v>26042.3</v>
      </c>
      <c r="AA79" s="31">
        <f t="shared" si="23"/>
        <v>2.9230081952060782E-3</v>
      </c>
      <c r="AF79" s="76">
        <v>46013</v>
      </c>
      <c r="AG79" s="74">
        <v>3199.35</v>
      </c>
      <c r="AH79" s="31">
        <f t="shared" si="24"/>
        <v>-3.928616471181734E-2</v>
      </c>
      <c r="AJ79" s="74">
        <v>26042.3</v>
      </c>
      <c r="AK79" s="31">
        <f t="shared" si="25"/>
        <v>2.9230081952060782E-3</v>
      </c>
      <c r="AP79" s="76">
        <v>46013</v>
      </c>
      <c r="AQ79" s="74">
        <v>332.95</v>
      </c>
      <c r="AR79" s="31">
        <f t="shared" si="26"/>
        <v>4.3239855867147181E-2</v>
      </c>
      <c r="AT79" s="74">
        <v>26042.3</v>
      </c>
      <c r="AU79" s="31">
        <f t="shared" si="27"/>
        <v>2.9230081952060782E-3</v>
      </c>
      <c r="AZ79" s="76"/>
      <c r="BA79" s="74"/>
      <c r="BB79" s="31"/>
      <c r="BD79" s="74"/>
      <c r="BE79" s="31"/>
    </row>
    <row r="80" spans="2:57" x14ac:dyDescent="0.2">
      <c r="B80" s="75">
        <v>46020</v>
      </c>
      <c r="C80" s="74">
        <v>4038.45</v>
      </c>
      <c r="D80" s="31">
        <f t="shared" si="20"/>
        <v>1.4956244627966075E-2</v>
      </c>
      <c r="F80" s="74">
        <v>26328.55</v>
      </c>
      <c r="G80" s="31">
        <f t="shared" si="21"/>
        <v>1.0991732681061128E-2</v>
      </c>
      <c r="V80" s="76">
        <v>46020</v>
      </c>
      <c r="W80" s="74">
        <v>495.7</v>
      </c>
      <c r="X80" s="31">
        <f t="shared" si="22"/>
        <v>9.2639723098850713E-3</v>
      </c>
      <c r="Z80" s="74">
        <v>26328.55</v>
      </c>
      <c r="AA80" s="31">
        <f t="shared" si="23"/>
        <v>1.0991732681061128E-2</v>
      </c>
      <c r="AF80" s="76">
        <v>46020</v>
      </c>
      <c r="AG80" s="74">
        <v>3220.49</v>
      </c>
      <c r="AH80" s="31">
        <f t="shared" si="24"/>
        <v>6.6075921671588933E-3</v>
      </c>
      <c r="AJ80" s="74">
        <v>26328.55</v>
      </c>
      <c r="AK80" s="31">
        <f t="shared" si="25"/>
        <v>1.0991732681061128E-2</v>
      </c>
      <c r="AP80" s="76">
        <v>46020</v>
      </c>
      <c r="AQ80" s="74">
        <v>332.65</v>
      </c>
      <c r="AR80" s="31">
        <f t="shared" si="26"/>
        <v>-9.0103619162040793E-4</v>
      </c>
      <c r="AT80" s="74">
        <v>26328.55</v>
      </c>
      <c r="AU80" s="31">
        <f t="shared" si="27"/>
        <v>1.0991732681061128E-2</v>
      </c>
      <c r="AZ80" s="76"/>
      <c r="BA80" s="74"/>
      <c r="BB80" s="31"/>
      <c r="BD80" s="74"/>
      <c r="BE80" s="31"/>
    </row>
    <row r="81" spans="2:57" x14ac:dyDescent="0.2">
      <c r="B81" s="75">
        <v>46027</v>
      </c>
      <c r="C81" s="74">
        <v>4188.0600000000004</v>
      </c>
      <c r="D81" s="31">
        <f t="shared" si="20"/>
        <v>3.7046391561118996E-2</v>
      </c>
      <c r="F81" s="74">
        <v>25683.3</v>
      </c>
      <c r="G81" s="31">
        <f t="shared" si="21"/>
        <v>-2.4507616256877029E-2</v>
      </c>
      <c r="V81" s="76">
        <v>46027</v>
      </c>
      <c r="W81" s="74">
        <v>506.9</v>
      </c>
      <c r="X81" s="31">
        <f t="shared" si="22"/>
        <v>2.259431107524712E-2</v>
      </c>
      <c r="Z81" s="74">
        <v>25683.3</v>
      </c>
      <c r="AA81" s="31">
        <f t="shared" si="23"/>
        <v>-2.4507616256877029E-2</v>
      </c>
      <c r="AF81" s="76">
        <v>46027</v>
      </c>
      <c r="AG81" s="74">
        <v>3610.3</v>
      </c>
      <c r="AH81" s="31">
        <f t="shared" si="24"/>
        <v>0.12104058699142062</v>
      </c>
      <c r="AJ81" s="74">
        <v>25683.3</v>
      </c>
      <c r="AK81" s="31">
        <f t="shared" si="25"/>
        <v>-2.4507616256877029E-2</v>
      </c>
      <c r="AP81" s="76">
        <v>46027</v>
      </c>
      <c r="AQ81" s="74">
        <v>337.7</v>
      </c>
      <c r="AR81" s="31">
        <f t="shared" si="26"/>
        <v>1.5181121298662337E-2</v>
      </c>
      <c r="AT81" s="74">
        <v>25683.3</v>
      </c>
      <c r="AU81" s="31">
        <f t="shared" si="27"/>
        <v>-2.4507616256877029E-2</v>
      </c>
      <c r="AZ81" s="76"/>
      <c r="BA81" s="74"/>
      <c r="BB81" s="31"/>
      <c r="BD81" s="74"/>
      <c r="BE81" s="31"/>
    </row>
    <row r="82" spans="2:57" x14ac:dyDescent="0.2">
      <c r="B82" s="75">
        <v>46034</v>
      </c>
      <c r="C82" s="74">
        <v>4183.17</v>
      </c>
      <c r="D82" s="31">
        <f t="shared" si="20"/>
        <v>-1.1676050486383316E-3</v>
      </c>
      <c r="F82" s="74">
        <v>25694.35</v>
      </c>
      <c r="G82" s="31">
        <f t="shared" si="21"/>
        <v>4.3024066222008273E-4</v>
      </c>
      <c r="V82" s="76">
        <v>46034</v>
      </c>
      <c r="W82" s="74">
        <v>467.5</v>
      </c>
      <c r="X82" s="31">
        <f t="shared" si="22"/>
        <v>-7.7727362398895217E-2</v>
      </c>
      <c r="Z82" s="74">
        <v>25694.35</v>
      </c>
      <c r="AA82" s="31">
        <f t="shared" si="23"/>
        <v>4.3024066222008273E-4</v>
      </c>
      <c r="AF82" s="76">
        <v>46034</v>
      </c>
      <c r="AG82" s="74">
        <v>3753.5</v>
      </c>
      <c r="AH82" s="31">
        <f t="shared" si="24"/>
        <v>3.9664293825997676E-2</v>
      </c>
      <c r="AJ82" s="74">
        <v>25694.35</v>
      </c>
      <c r="AK82" s="31">
        <f t="shared" si="25"/>
        <v>4.3024066222008273E-4</v>
      </c>
      <c r="AP82" s="76">
        <v>46034</v>
      </c>
      <c r="AQ82" s="74">
        <v>325.60000000000002</v>
      </c>
      <c r="AR82" s="31">
        <f t="shared" si="26"/>
        <v>-3.5830618892508048E-2</v>
      </c>
      <c r="AT82" s="74">
        <v>25694.35</v>
      </c>
      <c r="AU82" s="31">
        <f t="shared" si="27"/>
        <v>4.3024066222008273E-4</v>
      </c>
      <c r="AZ82" s="76"/>
      <c r="BA82" s="74"/>
      <c r="BB82" s="31"/>
      <c r="BD82" s="74"/>
      <c r="BE82" s="31"/>
    </row>
    <row r="83" spans="2:57" x14ac:dyDescent="0.2">
      <c r="B83" s="75">
        <v>46041</v>
      </c>
      <c r="C83" s="74">
        <v>4008.65</v>
      </c>
      <c r="D83" s="31">
        <f t="shared" si="20"/>
        <v>-4.1719557177929634E-2</v>
      </c>
      <c r="F83" s="74">
        <v>25048.65</v>
      </c>
      <c r="G83" s="31">
        <f t="shared" si="21"/>
        <v>-2.5130038315816394E-2</v>
      </c>
      <c r="V83" s="76">
        <v>46041</v>
      </c>
      <c r="W83" s="74">
        <v>367.2</v>
      </c>
      <c r="X83" s="31">
        <f t="shared" si="22"/>
        <v>-0.21454545454545459</v>
      </c>
      <c r="Z83" s="74">
        <v>25048.65</v>
      </c>
      <c r="AA83" s="31">
        <f t="shared" si="23"/>
        <v>-2.5130038315816394E-2</v>
      </c>
      <c r="AF83" s="76">
        <v>46041</v>
      </c>
      <c r="AG83" s="74">
        <v>3558.05</v>
      </c>
      <c r="AH83" s="31">
        <f t="shared" si="24"/>
        <v>-5.207140002664179E-2</v>
      </c>
      <c r="AJ83" s="74">
        <v>25048.65</v>
      </c>
      <c r="AK83" s="31">
        <f t="shared" si="25"/>
        <v>-2.5130038315816394E-2</v>
      </c>
      <c r="AP83" s="76">
        <v>46041</v>
      </c>
      <c r="AQ83" s="74">
        <v>301.5</v>
      </c>
      <c r="AR83" s="31">
        <f t="shared" si="26"/>
        <v>-7.4017199017199053E-2</v>
      </c>
      <c r="AT83" s="74">
        <v>25048.65</v>
      </c>
      <c r="AU83" s="31">
        <f t="shared" si="27"/>
        <v>-2.5130038315816394E-2</v>
      </c>
      <c r="AZ83" s="76"/>
      <c r="BA83" s="74"/>
      <c r="BB83" s="31"/>
      <c r="BD83" s="74"/>
      <c r="BE83" s="31"/>
    </row>
    <row r="84" spans="2:57" x14ac:dyDescent="0.2">
      <c r="B84" s="75">
        <v>46048</v>
      </c>
      <c r="C84" s="74">
        <v>3972.27</v>
      </c>
      <c r="D84" s="31">
        <f t="shared" si="20"/>
        <v>-9.0753745026380672E-3</v>
      </c>
      <c r="F84" s="74">
        <v>24825.45</v>
      </c>
      <c r="G84" s="31">
        <f t="shared" si="21"/>
        <v>-8.9106598559204331E-3</v>
      </c>
      <c r="V84" s="76">
        <v>46048</v>
      </c>
      <c r="W84" s="74">
        <v>368.9</v>
      </c>
      <c r="X84" s="31">
        <f t="shared" si="22"/>
        <v>4.6296296296295392E-3</v>
      </c>
      <c r="Z84" s="74">
        <v>24825.45</v>
      </c>
      <c r="AA84" s="31">
        <f t="shared" si="23"/>
        <v>-8.9106598559204331E-3</v>
      </c>
      <c r="AF84" s="76">
        <v>46048</v>
      </c>
      <c r="AG84" s="74">
        <v>3164.95</v>
      </c>
      <c r="AH84" s="31">
        <f t="shared" si="24"/>
        <v>-0.11048186506653934</v>
      </c>
      <c r="AJ84" s="74">
        <v>24825.45</v>
      </c>
      <c r="AK84" s="31">
        <f t="shared" si="25"/>
        <v>-8.9106598559204331E-3</v>
      </c>
      <c r="AP84" s="76">
        <v>46048</v>
      </c>
      <c r="AQ84" s="74">
        <v>309.14999999999998</v>
      </c>
      <c r="AR84" s="31">
        <f t="shared" si="26"/>
        <v>2.5373134328358082E-2</v>
      </c>
      <c r="AT84" s="74">
        <v>24825.45</v>
      </c>
      <c r="AU84" s="31">
        <f t="shared" si="27"/>
        <v>-8.9106598559204331E-3</v>
      </c>
      <c r="AZ84" s="76"/>
      <c r="BA84" s="74"/>
      <c r="BB84" s="31"/>
      <c r="BD84" s="74"/>
      <c r="BE84" s="31"/>
    </row>
    <row r="85" spans="2:57" x14ac:dyDescent="0.2">
      <c r="B85" s="75">
        <v>46055</v>
      </c>
      <c r="C85" s="74">
        <v>4127.46</v>
      </c>
      <c r="D85" s="31">
        <f t="shared" si="20"/>
        <v>3.9068341275895202E-2</v>
      </c>
      <c r="F85" s="74">
        <v>25693.7</v>
      </c>
      <c r="G85" s="31">
        <f t="shared" si="21"/>
        <v>3.4974189793135713E-2</v>
      </c>
      <c r="V85" s="76">
        <v>46055</v>
      </c>
      <c r="W85" s="74">
        <v>380.25</v>
      </c>
      <c r="X85" s="31">
        <f t="shared" si="22"/>
        <v>3.0767145567904608E-2</v>
      </c>
      <c r="Z85" s="74">
        <v>25693.7</v>
      </c>
      <c r="AA85" s="31">
        <f t="shared" si="23"/>
        <v>3.4974189793135713E-2</v>
      </c>
      <c r="AF85" s="76">
        <v>46055</v>
      </c>
      <c r="AG85" s="74">
        <v>3390.72</v>
      </c>
      <c r="AH85" s="31">
        <f t="shared" si="24"/>
        <v>7.1334460260035648E-2</v>
      </c>
      <c r="AJ85" s="74">
        <v>25693.7</v>
      </c>
      <c r="AK85" s="31">
        <f t="shared" si="25"/>
        <v>3.4974189793135713E-2</v>
      </c>
      <c r="AP85" s="76">
        <v>46055</v>
      </c>
      <c r="AQ85" s="74">
        <v>320.3</v>
      </c>
      <c r="AR85" s="31">
        <f t="shared" si="26"/>
        <v>3.6066634319909641E-2</v>
      </c>
      <c r="AT85" s="74">
        <v>25693.7</v>
      </c>
      <c r="AU85" s="31">
        <f t="shared" si="27"/>
        <v>3.4974189793135713E-2</v>
      </c>
      <c r="AZ85" s="76"/>
      <c r="BA85" s="74"/>
      <c r="BB85" s="31"/>
      <c r="BD85" s="74"/>
      <c r="BE85" s="31"/>
    </row>
    <row r="86" spans="2:57" x14ac:dyDescent="0.2">
      <c r="B86" s="75">
        <v>46062</v>
      </c>
      <c r="C86" s="74">
        <v>4165.53</v>
      </c>
      <c r="D86" s="31">
        <f t="shared" si="20"/>
        <v>9.2235902952420012E-3</v>
      </c>
      <c r="F86" s="74">
        <v>25471.1</v>
      </c>
      <c r="G86" s="31">
        <f t="shared" si="21"/>
        <v>-8.6636023616685209E-3</v>
      </c>
      <c r="V86" s="76">
        <v>46062</v>
      </c>
      <c r="W86" s="74">
        <v>418.05</v>
      </c>
      <c r="X86" s="31">
        <f t="shared" si="22"/>
        <v>9.9408284023668747E-2</v>
      </c>
      <c r="Z86" s="74">
        <v>25471.1</v>
      </c>
      <c r="AA86" s="31">
        <f t="shared" si="23"/>
        <v>-8.6636023616685209E-3</v>
      </c>
      <c r="AF86" s="76">
        <v>46062</v>
      </c>
      <c r="AG86" s="74">
        <v>3571.61</v>
      </c>
      <c r="AH86" s="31">
        <f t="shared" si="24"/>
        <v>5.3348551340128392E-2</v>
      </c>
      <c r="AJ86" s="74">
        <v>25471.1</v>
      </c>
      <c r="AK86" s="31">
        <f t="shared" si="25"/>
        <v>-8.6636023616685209E-3</v>
      </c>
      <c r="AP86" s="76">
        <v>46062</v>
      </c>
      <c r="AQ86" s="74">
        <v>372.75</v>
      </c>
      <c r="AR86" s="31">
        <f t="shared" si="26"/>
        <v>0.16375273181392447</v>
      </c>
      <c r="AT86" s="74">
        <v>25471.1</v>
      </c>
      <c r="AU86" s="31">
        <f t="shared" si="27"/>
        <v>-8.6636023616685209E-3</v>
      </c>
      <c r="AZ86" s="76"/>
      <c r="BA86" s="74"/>
      <c r="BB86" s="31"/>
      <c r="BD86" s="74"/>
      <c r="BE86" s="31"/>
    </row>
    <row r="87" spans="2:57" x14ac:dyDescent="0.2">
      <c r="B87" s="75">
        <v>46069</v>
      </c>
      <c r="C87" s="74">
        <v>4222.54</v>
      </c>
      <c r="D87" s="31">
        <f t="shared" si="20"/>
        <v>1.3686133577240023E-2</v>
      </c>
      <c r="F87" s="74">
        <v>25571.25</v>
      </c>
      <c r="G87" s="31">
        <f t="shared" si="21"/>
        <v>3.9319071418195684E-3</v>
      </c>
      <c r="V87" s="76">
        <v>46069</v>
      </c>
      <c r="W87" s="74">
        <v>401.2</v>
      </c>
      <c r="X87" s="31">
        <f t="shared" si="22"/>
        <v>-4.0306183470876777E-2</v>
      </c>
      <c r="Z87" s="74">
        <v>25571.25</v>
      </c>
      <c r="AA87" s="31">
        <f t="shared" si="23"/>
        <v>3.9319071418195684E-3</v>
      </c>
      <c r="AF87" s="76">
        <v>46069</v>
      </c>
      <c r="AG87" s="74">
        <v>3546.68</v>
      </c>
      <c r="AH87" s="31">
        <f t="shared" si="24"/>
        <v>-6.9800454136930146E-3</v>
      </c>
      <c r="AJ87" s="74">
        <v>25571.25</v>
      </c>
      <c r="AK87" s="31">
        <f t="shared" si="25"/>
        <v>3.9319071418195684E-3</v>
      </c>
      <c r="AP87" s="76">
        <v>46069</v>
      </c>
      <c r="AQ87" s="74">
        <v>361.25</v>
      </c>
      <c r="AR87" s="31">
        <f t="shared" si="26"/>
        <v>-3.0851777330650587E-2</v>
      </c>
      <c r="AT87" s="74">
        <v>25571.25</v>
      </c>
      <c r="AU87" s="31">
        <f t="shared" si="27"/>
        <v>3.9319071418195684E-3</v>
      </c>
      <c r="AZ87" s="76"/>
      <c r="BA87" s="74"/>
      <c r="BB87" s="31"/>
      <c r="BD87" s="74"/>
      <c r="BE87" s="31"/>
    </row>
    <row r="88" spans="2:57" x14ac:dyDescent="0.2">
      <c r="B88" s="75">
        <v>46076</v>
      </c>
      <c r="C88" s="74">
        <v>4313.3500000000004</v>
      </c>
      <c r="D88" s="31">
        <f t="shared" si="20"/>
        <v>2.1506012968497634E-2</v>
      </c>
      <c r="F88" s="74">
        <v>25178.65</v>
      </c>
      <c r="G88" s="31">
        <f t="shared" si="21"/>
        <v>-1.5353179840641329E-2</v>
      </c>
      <c r="V88" s="76">
        <v>46076</v>
      </c>
      <c r="W88" s="74">
        <v>410.1</v>
      </c>
      <c r="X88" s="31">
        <f t="shared" si="22"/>
        <v>2.2183449651046905E-2</v>
      </c>
      <c r="Z88" s="74">
        <v>25178.65</v>
      </c>
      <c r="AA88" s="31">
        <f t="shared" si="23"/>
        <v>-1.5353179840641329E-2</v>
      </c>
      <c r="AF88" s="76">
        <v>46076</v>
      </c>
      <c r="AG88" s="74">
        <v>3948.16</v>
      </c>
      <c r="AH88" s="31">
        <f t="shared" si="24"/>
        <v>0.11319882256081737</v>
      </c>
      <c r="AJ88" s="74">
        <v>25178.65</v>
      </c>
      <c r="AK88" s="31">
        <f t="shared" si="25"/>
        <v>-1.5353179840641329E-2</v>
      </c>
      <c r="AP88" s="76">
        <v>46076</v>
      </c>
      <c r="AQ88" s="74">
        <v>361.35</v>
      </c>
      <c r="AR88" s="31">
        <f t="shared" si="26"/>
        <v>2.7681660899658844E-4</v>
      </c>
      <c r="AT88" s="74">
        <v>25178.65</v>
      </c>
      <c r="AU88" s="31">
        <f t="shared" si="27"/>
        <v>-1.5353179840641329E-2</v>
      </c>
      <c r="AZ88" s="76"/>
      <c r="BA88" s="74"/>
      <c r="BB88" s="31"/>
      <c r="BD88" s="74"/>
      <c r="BE88" s="31"/>
    </row>
    <row r="89" spans="2:57" x14ac:dyDescent="0.2">
      <c r="B89" s="75">
        <v>46083</v>
      </c>
      <c r="C89" s="74">
        <v>4230.72</v>
      </c>
      <c r="D89" s="31">
        <f t="shared" si="20"/>
        <v>-1.9156803876337447E-2</v>
      </c>
      <c r="F89" s="74">
        <v>24450.45</v>
      </c>
      <c r="G89" s="31">
        <f t="shared" si="21"/>
        <v>-2.892132818876314E-2</v>
      </c>
      <c r="V89" s="76">
        <v>46083</v>
      </c>
      <c r="W89" s="74">
        <v>395.55</v>
      </c>
      <c r="X89" s="31">
        <f t="shared" si="22"/>
        <v>-3.5479151426481392E-2</v>
      </c>
      <c r="Z89" s="74">
        <v>24450.45</v>
      </c>
      <c r="AA89" s="31">
        <f t="shared" si="23"/>
        <v>-2.892132818876314E-2</v>
      </c>
      <c r="AF89" s="76">
        <v>46083</v>
      </c>
      <c r="AG89" s="74">
        <v>3684.89</v>
      </c>
      <c r="AH89" s="31">
        <f t="shared" si="24"/>
        <v>-6.6681694764143318E-2</v>
      </c>
      <c r="AJ89" s="74">
        <v>24450.45</v>
      </c>
      <c r="AK89" s="31">
        <f t="shared" si="25"/>
        <v>-2.892132818876314E-2</v>
      </c>
      <c r="AP89" s="76">
        <v>46083</v>
      </c>
      <c r="AQ89" s="74">
        <v>338.85</v>
      </c>
      <c r="AR89" s="31">
        <f t="shared" si="26"/>
        <v>-6.2266500622665033E-2</v>
      </c>
      <c r="AT89" s="74">
        <v>24450.45</v>
      </c>
      <c r="AU89" s="31">
        <f t="shared" si="27"/>
        <v>-2.892132818876314E-2</v>
      </c>
      <c r="AZ89" s="76"/>
      <c r="BA89" s="74"/>
      <c r="BB89" s="31"/>
      <c r="BD89" s="74"/>
      <c r="BE89" s="31"/>
    </row>
    <row r="90" spans="2:57" x14ac:dyDescent="0.2">
      <c r="B90" s="75">
        <v>46090</v>
      </c>
      <c r="C90" s="74">
        <v>4059.88</v>
      </c>
      <c r="D90" s="31">
        <f t="shared" si="20"/>
        <v>-4.0380833522426496E-2</v>
      </c>
      <c r="F90" s="74">
        <v>23151.1</v>
      </c>
      <c r="G90" s="31">
        <f t="shared" si="21"/>
        <v>-5.3142171207482991E-2</v>
      </c>
      <c r="V90" s="76">
        <v>46090</v>
      </c>
      <c r="W90" s="74">
        <v>379</v>
      </c>
      <c r="X90" s="31">
        <f t="shared" si="22"/>
        <v>-4.1840475287574286E-2</v>
      </c>
      <c r="Z90" s="74">
        <v>23151.1</v>
      </c>
      <c r="AA90" s="31">
        <f t="shared" si="23"/>
        <v>-5.3142171207482991E-2</v>
      </c>
      <c r="AF90" s="76">
        <v>46090</v>
      </c>
      <c r="AG90" s="74">
        <v>3494.33</v>
      </c>
      <c r="AH90" s="31">
        <f t="shared" si="24"/>
        <v>-5.171389105237878E-2</v>
      </c>
      <c r="AJ90" s="74">
        <v>23151.1</v>
      </c>
      <c r="AK90" s="31">
        <f t="shared" si="25"/>
        <v>-5.3142171207482991E-2</v>
      </c>
      <c r="AP90" s="76">
        <v>46090</v>
      </c>
      <c r="AQ90" s="74">
        <v>334.5</v>
      </c>
      <c r="AR90" s="31">
        <f t="shared" si="26"/>
        <v>-1.2837538733953102E-2</v>
      </c>
      <c r="AT90" s="74">
        <v>23151.1</v>
      </c>
      <c r="AU90" s="31">
        <f t="shared" si="27"/>
        <v>-5.3142171207482991E-2</v>
      </c>
      <c r="AZ90" s="76"/>
      <c r="BA90" s="74"/>
      <c r="BB90" s="31"/>
      <c r="BD90" s="74"/>
      <c r="BE90" s="31"/>
    </row>
    <row r="91" spans="2:57" x14ac:dyDescent="0.2">
      <c r="B91" s="75">
        <v>46097</v>
      </c>
      <c r="C91" s="74">
        <v>4093.17</v>
      </c>
      <c r="D91" s="31">
        <f t="shared" si="20"/>
        <v>8.1997497462980018E-3</v>
      </c>
      <c r="F91" s="74">
        <v>23114.5</v>
      </c>
      <c r="G91" s="31">
        <f t="shared" si="21"/>
        <v>-1.5809184012853805E-3</v>
      </c>
      <c r="V91" s="76">
        <v>46097</v>
      </c>
      <c r="W91" s="74">
        <v>382.7</v>
      </c>
      <c r="X91" s="31">
        <f t="shared" si="22"/>
        <v>9.7625329815302919E-3</v>
      </c>
      <c r="Z91" s="74">
        <v>23114.5</v>
      </c>
      <c r="AA91" s="31">
        <f t="shared" si="23"/>
        <v>-1.5809184012853805E-3</v>
      </c>
      <c r="AF91" s="76">
        <v>46097</v>
      </c>
      <c r="AG91" s="74">
        <v>3319.51</v>
      </c>
      <c r="AH91" s="31">
        <f t="shared" si="24"/>
        <v>-5.0029619412018778E-2</v>
      </c>
      <c r="AJ91" s="74">
        <v>23114.5</v>
      </c>
      <c r="AK91" s="31">
        <f t="shared" si="25"/>
        <v>-1.5809184012853805E-3</v>
      </c>
      <c r="AP91" s="76">
        <v>46097</v>
      </c>
      <c r="AQ91" s="74">
        <v>346.65</v>
      </c>
      <c r="AR91" s="31">
        <f t="shared" si="26"/>
        <v>3.6322869955156989E-2</v>
      </c>
      <c r="AT91" s="74">
        <v>23114.5</v>
      </c>
      <c r="AU91" s="31">
        <f t="shared" si="27"/>
        <v>-1.5809184012853805E-3</v>
      </c>
      <c r="AZ91" s="76"/>
      <c r="BA91" s="74"/>
      <c r="BB91" s="31"/>
      <c r="BD91" s="74"/>
      <c r="BE91" s="31"/>
    </row>
    <row r="92" spans="2:57" x14ac:dyDescent="0.2">
      <c r="B92" s="75">
        <v>46104</v>
      </c>
      <c r="C92" s="74">
        <v>3968.48</v>
      </c>
      <c r="D92" s="31">
        <f t="shared" si="20"/>
        <v>-3.0462941925207154E-2</v>
      </c>
      <c r="F92" s="74">
        <v>22819.599999999999</v>
      </c>
      <c r="G92" s="31">
        <f t="shared" si="21"/>
        <v>-1.275822535637805E-2</v>
      </c>
      <c r="V92" s="76">
        <v>46104</v>
      </c>
      <c r="W92" s="74">
        <v>388.35</v>
      </c>
      <c r="X92" s="31">
        <f t="shared" si="22"/>
        <v>1.4763522341259661E-2</v>
      </c>
      <c r="Z92" s="74">
        <v>22819.599999999999</v>
      </c>
      <c r="AA92" s="31">
        <f t="shared" si="23"/>
        <v>-1.275822535637805E-2</v>
      </c>
      <c r="AF92" s="76">
        <v>46104</v>
      </c>
      <c r="AG92" s="74">
        <v>3421.43</v>
      </c>
      <c r="AH92" s="31">
        <f t="shared" si="24"/>
        <v>3.0703326695807442E-2</v>
      </c>
      <c r="AJ92" s="74">
        <v>22819.599999999999</v>
      </c>
      <c r="AK92" s="31">
        <f t="shared" si="25"/>
        <v>-1.275822535637805E-2</v>
      </c>
      <c r="AP92" s="76">
        <v>46104</v>
      </c>
      <c r="AQ92" s="74">
        <v>328.6</v>
      </c>
      <c r="AR92" s="31">
        <f t="shared" si="26"/>
        <v>-5.2069811048607972E-2</v>
      </c>
      <c r="AT92" s="74">
        <v>22819.599999999999</v>
      </c>
      <c r="AU92" s="31">
        <f t="shared" si="27"/>
        <v>-1.275822535637805E-2</v>
      </c>
      <c r="AZ92" s="76"/>
      <c r="BA92" s="74"/>
      <c r="BB92" s="31"/>
      <c r="BD92" s="74"/>
      <c r="BE92" s="31"/>
    </row>
    <row r="93" spans="2:57" x14ac:dyDescent="0.2">
      <c r="B93" s="75">
        <v>46111</v>
      </c>
      <c r="C93" s="74">
        <v>4083.8</v>
      </c>
      <c r="D93" s="31">
        <f t="shared" si="20"/>
        <v>2.905898480022584E-2</v>
      </c>
      <c r="F93" s="74">
        <v>22713.1</v>
      </c>
      <c r="G93" s="31">
        <f t="shared" si="21"/>
        <v>-4.6670406142088616E-3</v>
      </c>
      <c r="V93" s="76">
        <v>46111</v>
      </c>
      <c r="W93" s="74">
        <v>394.35</v>
      </c>
      <c r="X93" s="31">
        <f t="shared" si="22"/>
        <v>1.5449980687524123E-2</v>
      </c>
      <c r="Z93" s="74">
        <v>22713.1</v>
      </c>
      <c r="AA93" s="31">
        <f t="shared" si="23"/>
        <v>-4.6670406142088616E-3</v>
      </c>
      <c r="AF93" s="76">
        <v>46111</v>
      </c>
      <c r="AG93" s="74">
        <v>3533.92</v>
      </c>
      <c r="AH93" s="31">
        <f t="shared" si="24"/>
        <v>3.2878065604148077E-2</v>
      </c>
      <c r="AJ93" s="74">
        <v>22713.1</v>
      </c>
      <c r="AK93" s="31">
        <f t="shared" si="25"/>
        <v>-4.6670406142088616E-3</v>
      </c>
      <c r="AP93" s="76">
        <v>46111</v>
      </c>
      <c r="AQ93" s="74">
        <v>340.05</v>
      </c>
      <c r="AR93" s="31">
        <f t="shared" si="26"/>
        <v>3.4844796104686493E-2</v>
      </c>
      <c r="AT93" s="74">
        <v>22713.1</v>
      </c>
      <c r="AU93" s="31">
        <f t="shared" si="27"/>
        <v>-4.6670406142088616E-3</v>
      </c>
      <c r="AZ93" s="76"/>
      <c r="BA93" s="74"/>
      <c r="BB93" s="31"/>
      <c r="BD93" s="74"/>
      <c r="BE93" s="31"/>
    </row>
    <row r="94" spans="2:57" x14ac:dyDescent="0.2">
      <c r="B94" s="75">
        <v>46118</v>
      </c>
      <c r="C94" s="74">
        <v>4490.2700000000004</v>
      </c>
      <c r="D94" s="31">
        <f t="shared" si="20"/>
        <v>9.9532298349576331E-2</v>
      </c>
      <c r="F94" s="74">
        <v>24050.6</v>
      </c>
      <c r="G94" s="31">
        <f t="shared" si="21"/>
        <v>5.8886721759689342E-2</v>
      </c>
      <c r="V94" s="76">
        <v>46118</v>
      </c>
      <c r="W94" s="74">
        <v>449.15</v>
      </c>
      <c r="X94" s="31">
        <f t="shared" si="22"/>
        <v>0.13896285025992117</v>
      </c>
      <c r="Z94" s="74">
        <v>24050.6</v>
      </c>
      <c r="AA94" s="31">
        <f t="shared" si="23"/>
        <v>5.8886721759689342E-2</v>
      </c>
      <c r="AF94" s="76">
        <v>46118</v>
      </c>
      <c r="AG94" s="74">
        <v>4127.25</v>
      </c>
      <c r="AH94" s="31">
        <f t="shared" si="24"/>
        <v>0.16789570788246477</v>
      </c>
      <c r="AJ94" s="74">
        <v>24050.6</v>
      </c>
      <c r="AK94" s="31">
        <f t="shared" si="25"/>
        <v>5.8886721759689342E-2</v>
      </c>
      <c r="AP94" s="76">
        <v>46118</v>
      </c>
      <c r="AQ94" s="74">
        <v>389.35</v>
      </c>
      <c r="AR94" s="31">
        <f t="shared" si="26"/>
        <v>0.14497867960594024</v>
      </c>
      <c r="AT94" s="74">
        <v>24050.6</v>
      </c>
      <c r="AU94" s="31">
        <f t="shared" si="27"/>
        <v>5.8886721759689342E-2</v>
      </c>
      <c r="AZ94" s="76"/>
      <c r="BA94" s="74"/>
      <c r="BB94" s="31"/>
      <c r="BD94" s="74"/>
      <c r="BE94" s="31"/>
    </row>
    <row r="95" spans="2:57" x14ac:dyDescent="0.2">
      <c r="B95" s="75">
        <v>46125</v>
      </c>
      <c r="C95" s="74">
        <v>4511.1000000000004</v>
      </c>
      <c r="D95" s="31">
        <f t="shared" si="20"/>
        <v>4.6389192632068088E-3</v>
      </c>
      <c r="F95" s="74">
        <v>24353.55</v>
      </c>
      <c r="G95" s="31">
        <f t="shared" si="21"/>
        <v>1.2596359342386565E-2</v>
      </c>
      <c r="V95" s="76">
        <v>46125</v>
      </c>
      <c r="W95" s="74">
        <v>426.85</v>
      </c>
      <c r="X95" s="31">
        <f t="shared" si="22"/>
        <v>-4.9649337637760138E-2</v>
      </c>
      <c r="Z95" s="74">
        <v>24353.55</v>
      </c>
      <c r="AA95" s="31">
        <f t="shared" si="23"/>
        <v>1.2596359342386565E-2</v>
      </c>
      <c r="AF95" s="76">
        <v>46125</v>
      </c>
      <c r="AG95" s="74">
        <v>4198.8500000000004</v>
      </c>
      <c r="AH95" s="31">
        <f t="shared" si="24"/>
        <v>1.7348113150402966E-2</v>
      </c>
      <c r="AJ95" s="74">
        <v>24353.55</v>
      </c>
      <c r="AK95" s="31">
        <f t="shared" si="25"/>
        <v>1.2596359342386565E-2</v>
      </c>
      <c r="AP95" s="76">
        <v>46125</v>
      </c>
      <c r="AQ95" s="74">
        <v>423.35</v>
      </c>
      <c r="AR95" s="31">
        <f t="shared" si="26"/>
        <v>8.7325028894311041E-2</v>
      </c>
      <c r="AT95" s="74">
        <v>24353.55</v>
      </c>
      <c r="AU95" s="31">
        <f t="shared" si="27"/>
        <v>1.2596359342386565E-2</v>
      </c>
      <c r="AZ95" s="76"/>
      <c r="BA95" s="74"/>
      <c r="BB95" s="31"/>
      <c r="BD95" s="74"/>
      <c r="BE95" s="31"/>
    </row>
    <row r="96" spans="2:57" x14ac:dyDescent="0.2">
      <c r="B96" s="75">
        <v>46132</v>
      </c>
      <c r="C96" s="74">
        <v>4395.58</v>
      </c>
      <c r="D96" s="31">
        <f t="shared" si="20"/>
        <v>-2.5607944847154895E-2</v>
      </c>
      <c r="F96" s="74">
        <v>23897.95</v>
      </c>
      <c r="G96" s="31">
        <f t="shared" si="21"/>
        <v>-1.8707744866764742E-2</v>
      </c>
      <c r="V96" s="76">
        <v>46132</v>
      </c>
      <c r="W96" s="74">
        <v>405.3</v>
      </c>
      <c r="X96" s="31">
        <f t="shared" si="22"/>
        <v>-5.0486119245636618E-2</v>
      </c>
      <c r="Z96" s="74">
        <v>23897.95</v>
      </c>
      <c r="AA96" s="31">
        <f t="shared" si="23"/>
        <v>-1.8707744866764742E-2</v>
      </c>
      <c r="AF96" s="76">
        <v>46132</v>
      </c>
      <c r="AG96" s="74">
        <v>3788.7</v>
      </c>
      <c r="AH96" s="31">
        <f t="shared" si="24"/>
        <v>-9.7681508031961295E-2</v>
      </c>
      <c r="AJ96" s="74">
        <v>23897.95</v>
      </c>
      <c r="AK96" s="31">
        <f t="shared" si="25"/>
        <v>-1.8707744866764742E-2</v>
      </c>
      <c r="AP96" s="76">
        <v>46132</v>
      </c>
      <c r="AQ96" s="74">
        <v>412.55</v>
      </c>
      <c r="AR96" s="31">
        <f t="shared" si="26"/>
        <v>-2.5510806661155128E-2</v>
      </c>
      <c r="AT96" s="74">
        <v>23897.95</v>
      </c>
      <c r="AU96" s="31">
        <f t="shared" si="27"/>
        <v>-1.8707744866764742E-2</v>
      </c>
      <c r="AZ96" s="76"/>
      <c r="BA96" s="74"/>
      <c r="BB96" s="31"/>
      <c r="BD96" s="74"/>
      <c r="BE96" s="31"/>
    </row>
    <row r="97" spans="2:57" x14ac:dyDescent="0.2">
      <c r="B97" s="75">
        <v>46139</v>
      </c>
      <c r="C97" s="74">
        <v>4370.8599999999997</v>
      </c>
      <c r="D97" s="31">
        <f t="shared" si="20"/>
        <v>-5.6238312122632861E-3</v>
      </c>
      <c r="F97" s="74">
        <v>23997.55</v>
      </c>
      <c r="G97" s="31">
        <f t="shared" si="21"/>
        <v>4.167721499124255E-3</v>
      </c>
      <c r="V97" s="76">
        <v>46139</v>
      </c>
      <c r="W97" s="74">
        <v>412.75</v>
      </c>
      <c r="X97" s="31">
        <f t="shared" si="22"/>
        <v>1.838144584258572E-2</v>
      </c>
      <c r="Z97" s="74">
        <v>23997.55</v>
      </c>
      <c r="AA97" s="31">
        <f t="shared" si="23"/>
        <v>4.167721499124255E-3</v>
      </c>
      <c r="AF97" s="76">
        <v>46139</v>
      </c>
      <c r="AG97" s="74">
        <v>3944.77</v>
      </c>
      <c r="AH97" s="31">
        <f t="shared" si="24"/>
        <v>4.119354923852514E-2</v>
      </c>
      <c r="AJ97" s="74">
        <v>23997.55</v>
      </c>
      <c r="AK97" s="31">
        <f t="shared" si="25"/>
        <v>4.167721499124255E-3</v>
      </c>
      <c r="AP97" s="76">
        <v>46139</v>
      </c>
      <c r="AQ97" s="74">
        <v>453.9</v>
      </c>
      <c r="AR97" s="31">
        <f t="shared" si="26"/>
        <v>0.1002302751181674</v>
      </c>
      <c r="AT97" s="74">
        <v>23997.55</v>
      </c>
      <c r="AU97" s="31">
        <f t="shared" si="27"/>
        <v>4.167721499124255E-3</v>
      </c>
      <c r="AZ97" s="76"/>
      <c r="BA97" s="74"/>
      <c r="BB97" s="31"/>
      <c r="BD97" s="74"/>
      <c r="BE97" s="31"/>
    </row>
    <row r="98" spans="2:57" x14ac:dyDescent="0.2">
      <c r="B98" s="75">
        <v>46146</v>
      </c>
      <c r="C98" s="74">
        <v>4494.25</v>
      </c>
      <c r="D98" s="31">
        <f t="shared" si="20"/>
        <v>2.8230142351848508E-2</v>
      </c>
      <c r="F98" s="74">
        <v>24176.15</v>
      </c>
      <c r="G98" s="31">
        <f t="shared" si="21"/>
        <v>7.4424264143633234E-3</v>
      </c>
      <c r="V98" s="76">
        <v>46146</v>
      </c>
      <c r="W98" s="74">
        <v>424.55</v>
      </c>
      <c r="X98" s="31">
        <f t="shared" si="22"/>
        <v>2.8588734100545077E-2</v>
      </c>
      <c r="Z98" s="74">
        <v>24176.15</v>
      </c>
      <c r="AA98" s="31">
        <f t="shared" si="23"/>
        <v>7.4424264143633234E-3</v>
      </c>
      <c r="AF98" s="76">
        <v>46146</v>
      </c>
      <c r="AG98" s="74">
        <v>4234.8500000000004</v>
      </c>
      <c r="AH98" s="31">
        <f t="shared" si="24"/>
        <v>7.3535339195948124E-2</v>
      </c>
      <c r="AJ98" s="74">
        <v>24176.15</v>
      </c>
      <c r="AK98" s="31">
        <f t="shared" si="25"/>
        <v>7.4424264143633234E-3</v>
      </c>
      <c r="AP98" s="76">
        <v>46146</v>
      </c>
      <c r="AQ98" s="74">
        <v>541.25</v>
      </c>
      <c r="AR98" s="31">
        <f t="shared" si="26"/>
        <v>0.19244326944260859</v>
      </c>
      <c r="AT98" s="74">
        <v>24176.15</v>
      </c>
      <c r="AU98" s="31">
        <f t="shared" si="27"/>
        <v>7.4424264143633234E-3</v>
      </c>
      <c r="AZ98" s="76"/>
      <c r="BA98" s="74"/>
      <c r="BB98" s="31"/>
      <c r="BD98" s="74"/>
      <c r="BE98" s="31"/>
    </row>
    <row r="99" spans="2:57" x14ac:dyDescent="0.2">
      <c r="B99" s="75">
        <v>46153</v>
      </c>
      <c r="C99" s="74">
        <v>4155.46</v>
      </c>
      <c r="D99" s="31">
        <f t="shared" si="20"/>
        <v>-7.5382989375312848E-2</v>
      </c>
      <c r="F99" s="74">
        <v>23643.5</v>
      </c>
      <c r="G99" s="31">
        <f t="shared" si="21"/>
        <v>-2.2032043977225579E-2</v>
      </c>
      <c r="V99" s="76">
        <v>46153</v>
      </c>
      <c r="W99" s="74">
        <v>353.05</v>
      </c>
      <c r="X99" s="31">
        <f t="shared" si="22"/>
        <v>-0.16841361441526326</v>
      </c>
      <c r="Z99" s="74">
        <v>23643.5</v>
      </c>
      <c r="AA99" s="31">
        <f t="shared" si="23"/>
        <v>-2.2032043977225579E-2</v>
      </c>
      <c r="AF99" s="76">
        <v>46153</v>
      </c>
      <c r="AG99" s="74">
        <v>3584.17</v>
      </c>
      <c r="AH99" s="31">
        <f t="shared" si="24"/>
        <v>-0.15364888957105927</v>
      </c>
      <c r="AJ99" s="74">
        <v>23643.5</v>
      </c>
      <c r="AK99" s="31">
        <f t="shared" si="25"/>
        <v>-2.2032043977225579E-2</v>
      </c>
      <c r="AP99" s="76">
        <v>46153</v>
      </c>
      <c r="AQ99" s="74">
        <v>446.2</v>
      </c>
      <c r="AR99" s="31">
        <f t="shared" si="26"/>
        <v>-0.17561200923787534</v>
      </c>
      <c r="AT99" s="74">
        <v>23643.5</v>
      </c>
      <c r="AU99" s="31">
        <f t="shared" si="27"/>
        <v>-2.2032043977225579E-2</v>
      </c>
      <c r="AZ99" s="76"/>
      <c r="BA99" s="74"/>
      <c r="BB99" s="31"/>
      <c r="BD99" s="74"/>
      <c r="BE99" s="31"/>
    </row>
    <row r="100" spans="2:57" x14ac:dyDescent="0.2">
      <c r="B100" s="75">
        <v>46160</v>
      </c>
      <c r="C100" s="74">
        <v>4066.46</v>
      </c>
      <c r="D100" s="31">
        <f t="shared" si="20"/>
        <v>-2.1417604789842781E-2</v>
      </c>
      <c r="F100" s="74">
        <v>23719.3</v>
      </c>
      <c r="G100" s="31">
        <f t="shared" si="21"/>
        <v>3.2059551250871454E-3</v>
      </c>
      <c r="V100" s="76">
        <v>46160</v>
      </c>
      <c r="W100" s="74">
        <v>352.4</v>
      </c>
      <c r="X100" s="31">
        <f t="shared" si="22"/>
        <v>-1.8410989944768197E-3</v>
      </c>
      <c r="Z100" s="74">
        <v>23719.3</v>
      </c>
      <c r="AA100" s="31">
        <f t="shared" si="23"/>
        <v>3.2059551250871454E-3</v>
      </c>
      <c r="AF100" s="76">
        <v>46160</v>
      </c>
      <c r="AG100" s="74">
        <v>3806.65</v>
      </c>
      <c r="AH100" s="31">
        <f t="shared" si="24"/>
        <v>6.2072948548757445E-2</v>
      </c>
      <c r="AJ100" s="74">
        <v>23719.3</v>
      </c>
      <c r="AK100" s="31">
        <f t="shared" si="25"/>
        <v>3.2059551250871454E-3</v>
      </c>
      <c r="AP100" s="76">
        <v>46160</v>
      </c>
      <c r="AQ100" s="74">
        <v>469.95</v>
      </c>
      <c r="AR100" s="31">
        <f t="shared" si="26"/>
        <v>5.3227252353204912E-2</v>
      </c>
      <c r="AT100" s="74">
        <v>23719.3</v>
      </c>
      <c r="AU100" s="31">
        <f t="shared" si="27"/>
        <v>3.2059551250871454E-3</v>
      </c>
      <c r="AZ100" s="76"/>
      <c r="BA100" s="74"/>
      <c r="BB100" s="31"/>
      <c r="BD100" s="74"/>
      <c r="BE100" s="31"/>
    </row>
    <row r="101" spans="2:57" x14ac:dyDescent="0.2">
      <c r="B101" s="75">
        <v>46167</v>
      </c>
      <c r="C101" s="74">
        <v>4061.57</v>
      </c>
      <c r="D101" s="31">
        <f t="shared" si="20"/>
        <v>-1.2025201280720932E-3</v>
      </c>
      <c r="F101" s="74">
        <v>23547.75</v>
      </c>
      <c r="G101" s="31">
        <f t="shared" si="21"/>
        <v>-7.2325068615008981E-3</v>
      </c>
      <c r="V101" s="76">
        <v>46167</v>
      </c>
      <c r="W101" s="74">
        <v>355.05</v>
      </c>
      <c r="X101" s="31">
        <f t="shared" si="22"/>
        <v>7.5198637911464417E-3</v>
      </c>
      <c r="Z101" s="74">
        <v>23547.75</v>
      </c>
      <c r="AA101" s="31">
        <f t="shared" si="23"/>
        <v>-7.2325068615008981E-3</v>
      </c>
      <c r="AF101" s="76">
        <v>46167</v>
      </c>
      <c r="AG101" s="74">
        <v>4193.17</v>
      </c>
      <c r="AH101" s="31">
        <f t="shared" si="24"/>
        <v>0.10153809780252976</v>
      </c>
      <c r="AJ101" s="74">
        <v>23547.75</v>
      </c>
      <c r="AK101" s="31">
        <f t="shared" si="25"/>
        <v>-7.2325068615008981E-3</v>
      </c>
      <c r="AP101" s="76">
        <v>46167</v>
      </c>
      <c r="AQ101" s="74">
        <v>521</v>
      </c>
      <c r="AR101" s="31">
        <f t="shared" si="26"/>
        <v>0.10862857750824562</v>
      </c>
      <c r="AT101" s="74">
        <v>23547.75</v>
      </c>
      <c r="AU101" s="31">
        <f t="shared" si="27"/>
        <v>-7.2325068615008981E-3</v>
      </c>
      <c r="AZ101" s="76"/>
      <c r="BA101" s="74"/>
      <c r="BB101" s="31"/>
      <c r="BD101" s="74"/>
      <c r="BE101" s="31"/>
    </row>
    <row r="102" spans="2:57" x14ac:dyDescent="0.2">
      <c r="B102" s="75">
        <v>46174</v>
      </c>
      <c r="C102" s="74">
        <v>4246.2700000000004</v>
      </c>
      <c r="D102" s="31">
        <f t="shared" si="20"/>
        <v>4.5475025667414348E-2</v>
      </c>
      <c r="F102" s="74">
        <v>23366.7</v>
      </c>
      <c r="G102" s="31">
        <f t="shared" si="21"/>
        <v>-7.6886326719113329E-3</v>
      </c>
      <c r="V102" s="76">
        <v>46174</v>
      </c>
      <c r="W102" s="74">
        <v>371.85</v>
      </c>
      <c r="X102" s="31">
        <f t="shared" si="22"/>
        <v>4.731727925644269E-2</v>
      </c>
      <c r="Z102" s="74">
        <v>23366.7</v>
      </c>
      <c r="AA102" s="31">
        <f t="shared" si="23"/>
        <v>-7.6886326719113329E-3</v>
      </c>
      <c r="AF102" s="76">
        <v>46174</v>
      </c>
      <c r="AG102" s="74">
        <v>5336.97</v>
      </c>
      <c r="AH102" s="31">
        <f t="shared" si="24"/>
        <v>0.27277692056367853</v>
      </c>
      <c r="AJ102" s="74">
        <v>23366.7</v>
      </c>
      <c r="AK102" s="31">
        <f t="shared" si="25"/>
        <v>-7.6886326719113329E-3</v>
      </c>
      <c r="AP102" s="76">
        <v>46174</v>
      </c>
      <c r="AQ102" s="74">
        <v>528.45000000000005</v>
      </c>
      <c r="AR102" s="31">
        <f t="shared" si="26"/>
        <v>1.4299424184261111E-2</v>
      </c>
      <c r="AT102" s="74">
        <v>23366.7</v>
      </c>
      <c r="AU102" s="31">
        <f t="shared" si="27"/>
        <v>-7.6886326719113329E-3</v>
      </c>
      <c r="AZ102" s="76"/>
      <c r="BA102" s="74"/>
      <c r="BB102" s="31"/>
      <c r="BD102" s="74"/>
      <c r="BE102" s="31"/>
    </row>
    <row r="103" spans="2:57" x14ac:dyDescent="0.2">
      <c r="B103" s="75">
        <v>46181</v>
      </c>
      <c r="C103" s="74">
        <v>4170.32</v>
      </c>
      <c r="D103" s="31">
        <f t="shared" si="20"/>
        <v>-1.7886286081667091E-2</v>
      </c>
      <c r="F103" s="74">
        <v>23622.9</v>
      </c>
      <c r="G103" s="31">
        <f t="shared" si="21"/>
        <v>1.0964321020940027E-2</v>
      </c>
      <c r="V103" s="76">
        <v>46181</v>
      </c>
      <c r="W103" s="74">
        <v>344.75</v>
      </c>
      <c r="X103" s="31">
        <f t="shared" si="22"/>
        <v>-7.2878848998252033E-2</v>
      </c>
      <c r="Z103" s="74">
        <v>23622.9</v>
      </c>
      <c r="AA103" s="31">
        <f t="shared" si="23"/>
        <v>1.0964321020940027E-2</v>
      </c>
      <c r="AF103" s="76">
        <v>46181</v>
      </c>
      <c r="AG103" s="74">
        <v>5463.42</v>
      </c>
      <c r="AH103" s="31">
        <f t="shared" si="24"/>
        <v>2.3693219186167402E-2</v>
      </c>
      <c r="AJ103" s="74">
        <v>23622.9</v>
      </c>
      <c r="AK103" s="31">
        <f t="shared" si="25"/>
        <v>1.0964321020940027E-2</v>
      </c>
      <c r="AP103" s="76">
        <v>46181</v>
      </c>
      <c r="AQ103" s="74">
        <v>508.95</v>
      </c>
      <c r="AR103" s="31">
        <f t="shared" si="26"/>
        <v>-3.6900369003690092E-2</v>
      </c>
      <c r="AT103" s="74">
        <v>23622.9</v>
      </c>
      <c r="AU103" s="31">
        <f t="shared" si="27"/>
        <v>1.0964321020940027E-2</v>
      </c>
      <c r="AZ103" s="76"/>
      <c r="BA103" s="74"/>
      <c r="BB103" s="31"/>
      <c r="BD103" s="74"/>
      <c r="BE103" s="31"/>
    </row>
    <row r="104" spans="2:57" x14ac:dyDescent="0.2">
      <c r="B104" s="75">
        <v>46188</v>
      </c>
      <c r="C104" s="74">
        <v>4405.4399999999996</v>
      </c>
      <c r="D104" s="31">
        <f t="shared" si="20"/>
        <v>5.6379366571390088E-2</v>
      </c>
      <c r="F104" s="74">
        <v>24013.1</v>
      </c>
      <c r="G104" s="31">
        <f t="shared" si="21"/>
        <v>1.6517870371546062E-2</v>
      </c>
      <c r="V104" s="76">
        <v>46188</v>
      </c>
      <c r="W104" s="74">
        <v>383.5</v>
      </c>
      <c r="X104" s="31">
        <f t="shared" si="22"/>
        <v>0.11240029006526475</v>
      </c>
      <c r="Z104" s="74">
        <v>24013.1</v>
      </c>
      <c r="AA104" s="31">
        <f t="shared" si="23"/>
        <v>1.6517870371546062E-2</v>
      </c>
      <c r="AF104" s="76">
        <v>46188</v>
      </c>
      <c r="AG104" s="74">
        <v>5439.39</v>
      </c>
      <c r="AH104" s="31">
        <f t="shared" si="24"/>
        <v>-4.3983438944836806E-3</v>
      </c>
      <c r="AJ104" s="74">
        <v>24013.1</v>
      </c>
      <c r="AK104" s="31">
        <f t="shared" si="25"/>
        <v>1.6517870371546062E-2</v>
      </c>
      <c r="AP104" s="76">
        <v>46188</v>
      </c>
      <c r="AQ104" s="74">
        <v>509.4</v>
      </c>
      <c r="AR104" s="31">
        <f t="shared" si="26"/>
        <v>8.8417329796630639E-4</v>
      </c>
      <c r="AT104" s="74">
        <v>24013.1</v>
      </c>
      <c r="AU104" s="31">
        <f t="shared" si="27"/>
        <v>1.6517870371546062E-2</v>
      </c>
      <c r="AZ104" s="76"/>
      <c r="BA104" s="74"/>
      <c r="BB104" s="31"/>
      <c r="BD104" s="74"/>
      <c r="BE104" s="31"/>
    </row>
    <row r="105" spans="2:57" x14ac:dyDescent="0.2">
      <c r="B105" s="75">
        <v>46195</v>
      </c>
      <c r="C105" s="74">
        <v>4277.26</v>
      </c>
      <c r="D105" s="31">
        <f t="shared" ref="D105:D113" si="28">C105/C104-1</f>
        <v>-2.9095845136921539E-2</v>
      </c>
      <c r="F105" s="74">
        <v>24056</v>
      </c>
      <c r="G105" s="31">
        <f t="shared" ref="G105:G113" si="29">F105/F104-1</f>
        <v>1.7865248551833801E-3</v>
      </c>
      <c r="V105" s="76">
        <v>46195</v>
      </c>
      <c r="W105" s="74">
        <v>377.8</v>
      </c>
      <c r="X105" s="31">
        <f t="shared" ref="X105:X112" si="30">W105/W104-1</f>
        <v>-1.4863102998696198E-2</v>
      </c>
      <c r="Z105" s="74">
        <v>24056</v>
      </c>
      <c r="AA105" s="31">
        <f t="shared" ref="AA105:AA112" si="31">Z105/Z104-1</f>
        <v>1.7865248551833801E-3</v>
      </c>
      <c r="AF105" s="76">
        <v>46195</v>
      </c>
      <c r="AG105" s="74">
        <v>5578.6</v>
      </c>
      <c r="AH105" s="31">
        <f t="shared" ref="AH105:AH112" si="32">AG105/AG104-1</f>
        <v>2.5592943326365747E-2</v>
      </c>
      <c r="AJ105" s="74">
        <v>24056</v>
      </c>
      <c r="AK105" s="31">
        <f t="shared" ref="AK105:AK112" si="33">AJ105/AJ104-1</f>
        <v>1.7865248551833801E-3</v>
      </c>
      <c r="AP105" s="76">
        <v>46195</v>
      </c>
      <c r="AQ105" s="74">
        <v>499.15</v>
      </c>
      <c r="AR105" s="31">
        <f t="shared" ref="AR105:AR112" si="34">AQ105/AQ104-1</f>
        <v>-2.012171181782485E-2</v>
      </c>
      <c r="AT105" s="74">
        <v>24056</v>
      </c>
      <c r="AU105" s="31">
        <f t="shared" ref="AU105:AU112" si="35">AT105/AT104-1</f>
        <v>1.7865248551833801E-3</v>
      </c>
      <c r="AZ105" s="76"/>
      <c r="BA105" s="74"/>
      <c r="BB105" s="31"/>
      <c r="BD105" s="74"/>
      <c r="BE105" s="31"/>
    </row>
    <row r="106" spans="2:57" x14ac:dyDescent="0.2">
      <c r="B106" s="75">
        <v>46202</v>
      </c>
      <c r="C106" s="74">
        <v>4446.51</v>
      </c>
      <c r="D106" s="31">
        <f t="shared" si="28"/>
        <v>3.9569724543282447E-2</v>
      </c>
      <c r="F106" s="74">
        <v>24270.85</v>
      </c>
      <c r="G106" s="31">
        <f t="shared" si="29"/>
        <v>8.9312437645492349E-3</v>
      </c>
      <c r="V106" s="76">
        <v>46202</v>
      </c>
      <c r="W106" s="74">
        <v>382.05</v>
      </c>
      <c r="X106" s="31">
        <f t="shared" si="30"/>
        <v>1.1249338274219145E-2</v>
      </c>
      <c r="Z106" s="74">
        <v>24270.85</v>
      </c>
      <c r="AA106" s="31">
        <f t="shared" si="31"/>
        <v>8.9312437645492349E-3</v>
      </c>
      <c r="AF106" s="76">
        <v>46202</v>
      </c>
      <c r="AG106" s="74">
        <v>6142.32</v>
      </c>
      <c r="AH106" s="31">
        <f t="shared" si="32"/>
        <v>0.10105044276341713</v>
      </c>
      <c r="AJ106" s="74">
        <v>24270.85</v>
      </c>
      <c r="AK106" s="31">
        <f t="shared" si="33"/>
        <v>8.9312437645492349E-3</v>
      </c>
      <c r="AP106" s="76">
        <v>46202</v>
      </c>
      <c r="AQ106" s="74">
        <v>560</v>
      </c>
      <c r="AR106" s="31">
        <f t="shared" si="34"/>
        <v>0.12190724231193029</v>
      </c>
      <c r="AT106" s="74">
        <v>24270.85</v>
      </c>
      <c r="AU106" s="31">
        <f t="shared" si="35"/>
        <v>8.9312437645492349E-3</v>
      </c>
      <c r="AZ106" s="76"/>
      <c r="BA106" s="74"/>
      <c r="BB106" s="31"/>
      <c r="BD106" s="74"/>
      <c r="BE106" s="31"/>
    </row>
    <row r="107" spans="2:57" x14ac:dyDescent="0.2">
      <c r="B107" s="75">
        <v>46209</v>
      </c>
      <c r="C107" s="74">
        <v>4584.3999999999996</v>
      </c>
      <c r="D107" s="31">
        <f t="shared" si="28"/>
        <v>3.101083771317259E-2</v>
      </c>
      <c r="F107" s="74">
        <v>24206.9</v>
      </c>
      <c r="G107" s="31">
        <f t="shared" si="29"/>
        <v>-2.6348479760699428E-3</v>
      </c>
      <c r="V107" s="76">
        <v>46209</v>
      </c>
      <c r="W107" s="74">
        <v>476.15</v>
      </c>
      <c r="X107" s="31">
        <f t="shared" si="30"/>
        <v>0.24630283994241586</v>
      </c>
      <c r="Z107" s="74">
        <v>24206.9</v>
      </c>
      <c r="AA107" s="31">
        <f t="shared" si="31"/>
        <v>-2.6348479760699428E-3</v>
      </c>
      <c r="AF107" s="76">
        <v>46209</v>
      </c>
      <c r="AG107" s="74">
        <v>6522.26</v>
      </c>
      <c r="AH107" s="31">
        <f t="shared" si="32"/>
        <v>6.185610648745099E-2</v>
      </c>
      <c r="AJ107" s="74">
        <v>24206.9</v>
      </c>
      <c r="AK107" s="31">
        <f t="shared" si="33"/>
        <v>-2.6348479760699428E-3</v>
      </c>
      <c r="AP107" s="76">
        <v>46209</v>
      </c>
      <c r="AQ107" s="74">
        <v>623.85</v>
      </c>
      <c r="AR107" s="31">
        <f t="shared" si="34"/>
        <v>0.11401785714285717</v>
      </c>
      <c r="AT107" s="74">
        <v>24206.9</v>
      </c>
      <c r="AU107" s="31">
        <f t="shared" si="35"/>
        <v>-2.6348479760699428E-3</v>
      </c>
      <c r="AZ107" s="76"/>
      <c r="BA107" s="74"/>
      <c r="BB107" s="31"/>
      <c r="BD107" s="74"/>
      <c r="BE107" s="31"/>
    </row>
    <row r="108" spans="2:57" x14ac:dyDescent="0.2">
      <c r="B108" s="75">
        <v>46216</v>
      </c>
      <c r="C108" s="74">
        <v>4638.1000000000004</v>
      </c>
      <c r="D108" s="31">
        <f t="shared" si="28"/>
        <v>1.1713637553442346E-2</v>
      </c>
      <c r="F108" s="74">
        <v>24334.3</v>
      </c>
      <c r="G108" s="31">
        <f t="shared" si="29"/>
        <v>5.262962213253175E-3</v>
      </c>
      <c r="V108" s="76">
        <v>46216</v>
      </c>
      <c r="W108" s="74">
        <v>574.4</v>
      </c>
      <c r="X108" s="31">
        <f t="shared" si="30"/>
        <v>0.2063425391158249</v>
      </c>
      <c r="Z108" s="74">
        <v>24334.3</v>
      </c>
      <c r="AA108" s="31">
        <f t="shared" si="31"/>
        <v>5.262962213253175E-3</v>
      </c>
      <c r="AF108" s="76">
        <v>46216</v>
      </c>
      <c r="AG108" s="74">
        <v>6418.05</v>
      </c>
      <c r="AH108" s="31">
        <f t="shared" si="32"/>
        <v>-1.597759058976489E-2</v>
      </c>
      <c r="AJ108" s="74">
        <v>24334.3</v>
      </c>
      <c r="AK108" s="31">
        <f t="shared" si="33"/>
        <v>5.262962213253175E-3</v>
      </c>
      <c r="AP108" s="76">
        <v>46216</v>
      </c>
      <c r="AQ108" s="74">
        <v>621.29999999999995</v>
      </c>
      <c r="AR108" s="31">
        <f t="shared" si="34"/>
        <v>-4.0875210387113503E-3</v>
      </c>
      <c r="AT108" s="74">
        <v>24334.3</v>
      </c>
      <c r="AU108" s="31">
        <f t="shared" si="35"/>
        <v>5.262962213253175E-3</v>
      </c>
      <c r="AZ108" s="76"/>
      <c r="BA108" s="74"/>
      <c r="BB108" s="31"/>
      <c r="BD108" s="74"/>
      <c r="BE108" s="31"/>
    </row>
    <row r="109" spans="2:57" x14ac:dyDescent="0.2">
      <c r="B109" s="75">
        <v>46223</v>
      </c>
      <c r="C109" s="74">
        <v>4677</v>
      </c>
      <c r="D109" s="31">
        <f t="shared" si="28"/>
        <v>8.3870550440912073E-3</v>
      </c>
      <c r="F109" s="74">
        <v>23767.45</v>
      </c>
      <c r="G109" s="31">
        <f t="shared" si="29"/>
        <v>-2.3294280090242925E-2</v>
      </c>
      <c r="V109" s="76">
        <v>46223</v>
      </c>
      <c r="W109" s="74">
        <v>573.54999999999995</v>
      </c>
      <c r="X109" s="31">
        <f t="shared" si="30"/>
        <v>-1.4798050139276375E-3</v>
      </c>
      <c r="Z109" s="74">
        <v>23767.45</v>
      </c>
      <c r="AA109" s="31">
        <f t="shared" si="31"/>
        <v>-2.3294280090242925E-2</v>
      </c>
      <c r="AF109" s="76">
        <v>46223</v>
      </c>
      <c r="AG109" s="74">
        <v>6906.5</v>
      </c>
      <c r="AH109" s="31">
        <f t="shared" si="32"/>
        <v>7.6105670725531871E-2</v>
      </c>
      <c r="AJ109" s="74">
        <v>23767.45</v>
      </c>
      <c r="AK109" s="31">
        <f t="shared" si="33"/>
        <v>-2.3294280090242925E-2</v>
      </c>
      <c r="AP109" s="76">
        <v>46223</v>
      </c>
      <c r="AQ109" s="74">
        <v>653.70000000000005</v>
      </c>
      <c r="AR109" s="31">
        <f t="shared" si="34"/>
        <v>5.2148720424915584E-2</v>
      </c>
      <c r="AT109" s="74">
        <v>23767.45</v>
      </c>
      <c r="AU109" s="31">
        <f t="shared" si="35"/>
        <v>-2.3294280090242925E-2</v>
      </c>
      <c r="AZ109" s="76"/>
      <c r="BA109" s="74"/>
      <c r="BB109" s="31"/>
      <c r="BD109" s="74"/>
      <c r="BE109" s="31"/>
    </row>
    <row r="110" spans="2:57" x14ac:dyDescent="0.2">
      <c r="B110" s="75">
        <v>46230</v>
      </c>
      <c r="C110" s="74">
        <v>4875.2</v>
      </c>
      <c r="D110" s="31">
        <f t="shared" si="28"/>
        <v>4.2377592473807901E-2</v>
      </c>
      <c r="F110" s="74">
        <v>24383.599999999999</v>
      </c>
      <c r="G110" s="31">
        <f t="shared" si="29"/>
        <v>2.5924110495656683E-2</v>
      </c>
      <c r="V110" s="76">
        <v>46230</v>
      </c>
      <c r="W110" s="74">
        <v>612.6</v>
      </c>
      <c r="X110" s="31">
        <f t="shared" si="30"/>
        <v>6.8084735419754239E-2</v>
      </c>
      <c r="Z110" s="74">
        <v>24383.599999999999</v>
      </c>
      <c r="AA110" s="31">
        <f t="shared" si="31"/>
        <v>2.5924110495656683E-2</v>
      </c>
      <c r="AF110" s="76">
        <v>46230</v>
      </c>
      <c r="AG110" s="74">
        <v>5226.5</v>
      </c>
      <c r="AH110" s="31">
        <f t="shared" si="32"/>
        <v>-0.243249113154275</v>
      </c>
      <c r="AJ110" s="74">
        <v>24383.599999999999</v>
      </c>
      <c r="AK110" s="31">
        <f t="shared" si="33"/>
        <v>2.5924110495656683E-2</v>
      </c>
      <c r="AP110" s="76">
        <v>46230</v>
      </c>
      <c r="AQ110" s="74">
        <v>643.70000000000005</v>
      </c>
      <c r="AR110" s="31">
        <f t="shared" si="34"/>
        <v>-1.529753709652748E-2</v>
      </c>
      <c r="AT110" s="74">
        <v>24383.599999999999</v>
      </c>
      <c r="AU110" s="31">
        <f t="shared" si="35"/>
        <v>2.5924110495656683E-2</v>
      </c>
      <c r="AZ110" s="76"/>
      <c r="BA110" s="74"/>
      <c r="BB110" s="31"/>
      <c r="BD110" s="74"/>
      <c r="BE110" s="31"/>
    </row>
    <row r="111" spans="2:57" x14ac:dyDescent="0.2">
      <c r="B111" s="75">
        <v>46237</v>
      </c>
      <c r="C111" s="74">
        <v>4941</v>
      </c>
      <c r="D111" s="31">
        <f t="shared" si="28"/>
        <v>1.349688217919276E-2</v>
      </c>
      <c r="F111" s="74">
        <v>24570.65</v>
      </c>
      <c r="G111" s="31">
        <f t="shared" si="29"/>
        <v>7.6711396184321323E-3</v>
      </c>
      <c r="V111" s="76">
        <v>46237</v>
      </c>
      <c r="W111" s="74">
        <v>606.29999999999995</v>
      </c>
      <c r="X111" s="31">
        <f t="shared" si="30"/>
        <v>-1.0284035259549573E-2</v>
      </c>
      <c r="Z111" s="74">
        <v>24570.65</v>
      </c>
      <c r="AA111" s="31">
        <f t="shared" si="31"/>
        <v>7.6711396184321323E-3</v>
      </c>
      <c r="AF111" s="76">
        <v>46237</v>
      </c>
      <c r="AG111" s="74">
        <v>5275</v>
      </c>
      <c r="AH111" s="31">
        <f t="shared" si="32"/>
        <v>9.2796326413469021E-3</v>
      </c>
      <c r="AJ111" s="74">
        <v>24570.65</v>
      </c>
      <c r="AK111" s="31">
        <f t="shared" si="33"/>
        <v>7.6711396184321323E-3</v>
      </c>
      <c r="AP111" s="76">
        <v>46237</v>
      </c>
      <c r="AQ111" s="74">
        <v>719.4</v>
      </c>
      <c r="AR111" s="31">
        <f t="shared" si="34"/>
        <v>0.11760136709647351</v>
      </c>
      <c r="AT111" s="74">
        <v>24570.65</v>
      </c>
      <c r="AU111" s="31">
        <f t="shared" si="35"/>
        <v>7.6711396184321323E-3</v>
      </c>
      <c r="AZ111" s="76"/>
      <c r="BA111" s="74"/>
      <c r="BB111" s="31"/>
      <c r="BD111" s="74"/>
      <c r="BE111" s="31"/>
    </row>
    <row r="112" spans="2:57" x14ac:dyDescent="0.2">
      <c r="B112" s="75">
        <v>46244</v>
      </c>
      <c r="C112" s="74">
        <v>5128</v>
      </c>
      <c r="D112" s="31">
        <f t="shared" si="28"/>
        <v>3.7846589759158E-2</v>
      </c>
      <c r="F112" s="74">
        <v>24471.7</v>
      </c>
      <c r="G112" s="31">
        <f t="shared" si="29"/>
        <v>-4.0271624885789281E-3</v>
      </c>
      <c r="V112" s="76">
        <v>46244</v>
      </c>
      <c r="W112" s="74">
        <v>596.70000000000005</v>
      </c>
      <c r="X112" s="31">
        <f t="shared" si="30"/>
        <v>-1.5833745670460031E-2</v>
      </c>
      <c r="Z112" s="74">
        <v>24435.95</v>
      </c>
      <c r="AA112" s="31">
        <f t="shared" si="31"/>
        <v>-5.4821504518602904E-3</v>
      </c>
      <c r="AF112" s="76">
        <v>46244</v>
      </c>
      <c r="AG112" s="74">
        <v>5328</v>
      </c>
      <c r="AH112" s="31">
        <f t="shared" si="32"/>
        <v>1.0047393364928991E-2</v>
      </c>
      <c r="AJ112" s="74">
        <v>24435.95</v>
      </c>
      <c r="AK112" s="31">
        <f t="shared" si="33"/>
        <v>-5.4821504518602904E-3</v>
      </c>
      <c r="AP112" s="76">
        <v>46244</v>
      </c>
      <c r="AQ112" s="74">
        <v>833.1</v>
      </c>
      <c r="AR112" s="31">
        <f t="shared" si="34"/>
        <v>0.15804837364470403</v>
      </c>
      <c r="AT112" s="74">
        <v>24435.95</v>
      </c>
      <c r="AU112" s="31">
        <f t="shared" si="35"/>
        <v>-5.4821504518602904E-3</v>
      </c>
      <c r="AZ112" s="76"/>
      <c r="BA112" s="74"/>
      <c r="BB112" s="31"/>
      <c r="BD112" s="74"/>
      <c r="BE112" s="31"/>
    </row>
    <row r="113" spans="2:27" x14ac:dyDescent="0.2">
      <c r="B113" s="75">
        <v>46246</v>
      </c>
      <c r="C113" s="74">
        <v>5099</v>
      </c>
      <c r="D113" s="31">
        <f t="shared" si="28"/>
        <v>-5.6552262090483474E-3</v>
      </c>
      <c r="F113" s="74">
        <v>24435.95</v>
      </c>
      <c r="G113" s="31">
        <f t="shared" si="29"/>
        <v>-1.4608711286915321E-3</v>
      </c>
      <c r="Z113" s="74"/>
      <c r="AA113" s="31"/>
    </row>
  </sheetData>
  <sheetProtection sheet="1" objects="1" scenarios="1"/>
  <mergeCells count="15">
    <mergeCell ref="V5:X5"/>
    <mergeCell ref="Z5:AA5"/>
    <mergeCell ref="AC5:AD5"/>
    <mergeCell ref="AF5:AH5"/>
    <mergeCell ref="B5:D5"/>
    <mergeCell ref="F5:G5"/>
    <mergeCell ref="I5:J5"/>
    <mergeCell ref="AZ5:BB5"/>
    <mergeCell ref="BD5:BE5"/>
    <mergeCell ref="BG5:BH5"/>
    <mergeCell ref="AJ5:AK5"/>
    <mergeCell ref="AM5:AN5"/>
    <mergeCell ref="AP5:AR5"/>
    <mergeCell ref="AT5:AU5"/>
    <mergeCell ref="AW5:AX5"/>
  </mergeCells>
  <pageMargins left="0.7" right="0.7" top="0.75" bottom="0.75" header="0.3" footer="0.3"/>
  <pageSetup paperSize="9" orientation="portrait" horizontalDpi="0" verticalDpi="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42667-0584-5148-ADC0-91AB98F315E8}">
  <dimension ref="B3:G18"/>
  <sheetViews>
    <sheetView showGridLines="0" zoomScale="206" workbookViewId="0">
      <selection activeCell="D4" sqref="D4"/>
    </sheetView>
  </sheetViews>
  <sheetFormatPr baseColWidth="10" defaultRowHeight="15" x14ac:dyDescent="0.2"/>
  <cols>
    <col min="1" max="1" width="3.5" customWidth="1"/>
    <col min="3" max="3" width="15" bestFit="1" customWidth="1"/>
    <col min="5" max="5" width="12.5" bestFit="1" customWidth="1"/>
  </cols>
  <sheetData>
    <row r="3" spans="2:7" x14ac:dyDescent="0.2">
      <c r="B3" s="98" t="s">
        <v>267</v>
      </c>
      <c r="C3" s="98" t="s">
        <v>212</v>
      </c>
      <c r="D3" s="98" t="s">
        <v>266</v>
      </c>
      <c r="E3" s="98" t="s">
        <v>265</v>
      </c>
      <c r="F3" s="98" t="s">
        <v>264</v>
      </c>
      <c r="G3" s="98" t="s">
        <v>263</v>
      </c>
    </row>
    <row r="4" spans="2:7" x14ac:dyDescent="0.2">
      <c r="B4" s="99">
        <v>1</v>
      </c>
      <c r="C4" s="98" t="s">
        <v>205</v>
      </c>
      <c r="D4" s="217">
        <f>Teaser!B11</f>
        <v>5169</v>
      </c>
      <c r="E4" s="100">
        <v>448931.97</v>
      </c>
      <c r="F4" s="98">
        <v>30621</v>
      </c>
      <c r="G4" s="98">
        <v>1.95</v>
      </c>
    </row>
    <row r="5" spans="2:7" x14ac:dyDescent="0.2">
      <c r="B5" s="99">
        <v>2</v>
      </c>
      <c r="C5" s="98" t="s">
        <v>204</v>
      </c>
      <c r="D5" s="98">
        <v>613.4</v>
      </c>
      <c r="E5" s="100">
        <v>63311.81</v>
      </c>
      <c r="F5" s="98">
        <v>6117.33</v>
      </c>
      <c r="G5" s="98">
        <v>0.97</v>
      </c>
    </row>
    <row r="6" spans="2:7" x14ac:dyDescent="0.2">
      <c r="B6" s="99">
        <v>3</v>
      </c>
      <c r="C6" s="98" t="s">
        <v>203</v>
      </c>
      <c r="D6" s="98">
        <v>5270</v>
      </c>
      <c r="E6" s="100">
        <v>16398.54</v>
      </c>
      <c r="F6" s="98">
        <v>913.21</v>
      </c>
      <c r="G6" s="98">
        <v>0.64</v>
      </c>
    </row>
    <row r="7" spans="2:7" x14ac:dyDescent="0.2">
      <c r="B7" s="99">
        <v>4</v>
      </c>
      <c r="C7" s="98" t="s">
        <v>202</v>
      </c>
      <c r="D7" s="98">
        <v>874.3</v>
      </c>
      <c r="E7" s="100">
        <v>13388.55</v>
      </c>
      <c r="F7" s="98">
        <v>1699.09</v>
      </c>
      <c r="G7" s="98">
        <v>0.94</v>
      </c>
    </row>
    <row r="8" spans="2:7" x14ac:dyDescent="0.2">
      <c r="B8" s="99">
        <v>5</v>
      </c>
      <c r="C8" s="98" t="s">
        <v>201</v>
      </c>
      <c r="D8" s="98">
        <v>773.95</v>
      </c>
      <c r="E8" s="100">
        <v>11993.66</v>
      </c>
      <c r="F8" s="98">
        <v>869.11</v>
      </c>
      <c r="G8" s="98">
        <v>0.73</v>
      </c>
    </row>
    <row r="9" spans="2:7" x14ac:dyDescent="0.2">
      <c r="E9" s="41"/>
    </row>
    <row r="10" spans="2:7" x14ac:dyDescent="0.2">
      <c r="E10" s="41"/>
    </row>
    <row r="11" spans="2:7" x14ac:dyDescent="0.2">
      <c r="E11" s="41"/>
    </row>
    <row r="12" spans="2:7" x14ac:dyDescent="0.2">
      <c r="E12" s="41"/>
    </row>
    <row r="13" spans="2:7" x14ac:dyDescent="0.2">
      <c r="E13" s="41"/>
    </row>
    <row r="14" spans="2:7" x14ac:dyDescent="0.2">
      <c r="E14" s="41"/>
    </row>
    <row r="15" spans="2:7" x14ac:dyDescent="0.2">
      <c r="E15" s="41"/>
    </row>
    <row r="16" spans="2:7" x14ac:dyDescent="0.2">
      <c r="E16" s="41"/>
    </row>
    <row r="17" spans="5:5" x14ac:dyDescent="0.2">
      <c r="E17" s="41"/>
    </row>
    <row r="18" spans="5:5" x14ac:dyDescent="0.2">
      <c r="E18" s="41"/>
    </row>
  </sheetData>
  <sheetProtection sheet="1" objects="1" scenarios="1"/>
  <pageMargins left="0.7" right="0.7" top="0.75" bottom="0.75" header="0.3" footer="0.3"/>
  <pageSetup paperSize="9" orientation="portrait" horizontalDpi="0" verticalDpi="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603A3-2383-A04D-BD0E-6FE104C5EF67}">
  <dimension ref="B3:F31"/>
  <sheetViews>
    <sheetView showGridLines="0" zoomScale="156" workbookViewId="0">
      <selection activeCell="G23" sqref="G23"/>
    </sheetView>
  </sheetViews>
  <sheetFormatPr baseColWidth="10" defaultRowHeight="15" x14ac:dyDescent="0.2"/>
  <cols>
    <col min="1" max="1" width="3.33203125" customWidth="1"/>
    <col min="5" max="5" width="16.33203125" bestFit="1" customWidth="1"/>
    <col min="6" max="6" width="20.1640625" bestFit="1" customWidth="1"/>
  </cols>
  <sheetData>
    <row r="3" spans="2:6" x14ac:dyDescent="0.2">
      <c r="B3" s="275" t="s">
        <v>270</v>
      </c>
      <c r="C3" s="275"/>
      <c r="D3" s="275"/>
      <c r="E3" s="275"/>
      <c r="F3" s="275"/>
    </row>
    <row r="5" spans="2:6" x14ac:dyDescent="0.2">
      <c r="B5" s="92" t="s">
        <v>166</v>
      </c>
      <c r="C5" s="91" t="s">
        <v>404</v>
      </c>
    </row>
    <row r="6" spans="2:6" x14ac:dyDescent="0.2">
      <c r="B6" s="40">
        <v>2005</v>
      </c>
      <c r="C6" s="90">
        <v>0.39300000000000002</v>
      </c>
      <c r="E6" t="s">
        <v>269</v>
      </c>
      <c r="F6" s="31" cm="1">
        <f t="array" ref="F6">GEOMEAN(1+C6:C26)-1</f>
        <v>0.14226282721747951</v>
      </c>
    </row>
    <row r="7" spans="2:6" x14ac:dyDescent="0.2">
      <c r="B7" s="40">
        <v>2006</v>
      </c>
      <c r="C7" s="90">
        <v>0.41899999999999998</v>
      </c>
      <c r="E7" s="23" t="s">
        <v>268</v>
      </c>
      <c r="F7" s="49">
        <f>F6</f>
        <v>0.14226282721747951</v>
      </c>
    </row>
    <row r="8" spans="2:6" x14ac:dyDescent="0.2">
      <c r="B8" s="40">
        <v>2007</v>
      </c>
      <c r="C8" s="90">
        <v>0.56799999999999995</v>
      </c>
    </row>
    <row r="9" spans="2:6" x14ac:dyDescent="0.2">
      <c r="B9" s="40">
        <v>2008</v>
      </c>
      <c r="C9" s="90">
        <v>-0.51300000000000001</v>
      </c>
    </row>
    <row r="10" spans="2:6" x14ac:dyDescent="0.2">
      <c r="B10" s="40">
        <v>2009</v>
      </c>
      <c r="C10" s="90">
        <v>0.77600000000000002</v>
      </c>
    </row>
    <row r="11" spans="2:6" x14ac:dyDescent="0.2">
      <c r="B11" s="40">
        <v>2010</v>
      </c>
      <c r="C11" s="90">
        <v>0.192</v>
      </c>
    </row>
    <row r="12" spans="2:6" x14ac:dyDescent="0.2">
      <c r="B12" s="40">
        <v>2011</v>
      </c>
      <c r="C12" s="90">
        <v>-0.23799999999999999</v>
      </c>
    </row>
    <row r="13" spans="2:6" x14ac:dyDescent="0.2">
      <c r="B13" s="40">
        <v>2012</v>
      </c>
      <c r="C13" s="90">
        <v>0.29399999999999998</v>
      </c>
    </row>
    <row r="14" spans="2:6" x14ac:dyDescent="0.2">
      <c r="B14" s="40">
        <v>2013</v>
      </c>
      <c r="C14" s="90">
        <v>8.1000000000000003E-2</v>
      </c>
    </row>
    <row r="15" spans="2:6" x14ac:dyDescent="0.2">
      <c r="B15" s="40">
        <v>2014</v>
      </c>
      <c r="C15" s="90">
        <v>0.32900000000000001</v>
      </c>
    </row>
    <row r="16" spans="2:6" x14ac:dyDescent="0.2">
      <c r="B16" s="40">
        <v>2015</v>
      </c>
      <c r="C16" s="90">
        <v>-0.03</v>
      </c>
    </row>
    <row r="17" spans="2:3" x14ac:dyDescent="0.2">
      <c r="B17" s="40">
        <v>2016</v>
      </c>
      <c r="C17" s="90">
        <v>4.3999999999999997E-2</v>
      </c>
    </row>
    <row r="18" spans="2:3" x14ac:dyDescent="0.2">
      <c r="B18" s="40">
        <v>2017</v>
      </c>
      <c r="C18" s="90">
        <v>0.30299999999999999</v>
      </c>
    </row>
    <row r="19" spans="2:3" x14ac:dyDescent="0.2">
      <c r="B19" s="40">
        <v>2018</v>
      </c>
      <c r="C19" s="90">
        <v>4.5999999999999999E-2</v>
      </c>
    </row>
    <row r="20" spans="2:3" x14ac:dyDescent="0.2">
      <c r="B20" s="40">
        <v>2019</v>
      </c>
      <c r="C20" s="90">
        <v>0.13500000000000001</v>
      </c>
    </row>
    <row r="21" spans="2:3" x14ac:dyDescent="0.2">
      <c r="B21" s="40">
        <v>2020</v>
      </c>
      <c r="C21" s="90">
        <v>0.161</v>
      </c>
    </row>
    <row r="22" spans="2:3" x14ac:dyDescent="0.2">
      <c r="B22" s="40">
        <v>2021</v>
      </c>
      <c r="C22" s="90">
        <v>0.25600000000000001</v>
      </c>
    </row>
    <row r="23" spans="2:3" x14ac:dyDescent="0.2">
      <c r="B23" s="40">
        <v>2022</v>
      </c>
      <c r="C23" s="90">
        <v>5.7000000000000002E-2</v>
      </c>
    </row>
    <row r="24" spans="2:3" x14ac:dyDescent="0.2">
      <c r="B24" s="40">
        <v>2023</v>
      </c>
      <c r="C24" s="90">
        <v>0.21299999999999999</v>
      </c>
    </row>
    <row r="25" spans="2:3" x14ac:dyDescent="0.2">
      <c r="B25" s="40">
        <v>2024</v>
      </c>
      <c r="C25" s="90">
        <v>0.10100000000000001</v>
      </c>
    </row>
    <row r="26" spans="2:3" x14ac:dyDescent="0.2">
      <c r="B26" s="40">
        <v>2025</v>
      </c>
      <c r="C26" s="90">
        <v>0.11899999999999999</v>
      </c>
    </row>
    <row r="27" spans="2:3" x14ac:dyDescent="0.2">
      <c r="B27" s="40" t="s">
        <v>405</v>
      </c>
      <c r="C27" s="90">
        <v>-8.1000000000000003E-2</v>
      </c>
    </row>
    <row r="28" spans="2:3" x14ac:dyDescent="0.2">
      <c r="B28" s="40"/>
      <c r="C28" s="90"/>
    </row>
    <row r="29" spans="2:3" x14ac:dyDescent="0.2">
      <c r="B29" s="157" t="s">
        <v>406</v>
      </c>
      <c r="C29" s="90"/>
    </row>
    <row r="30" spans="2:3" x14ac:dyDescent="0.2">
      <c r="B30" s="40"/>
      <c r="C30" s="90"/>
    </row>
    <row r="31" spans="2:3" x14ac:dyDescent="0.2">
      <c r="B31" s="89"/>
    </row>
  </sheetData>
  <sheetProtection sheet="1" objects="1" scenarios="1"/>
  <mergeCells count="1">
    <mergeCell ref="B3:F3"/>
  </mergeCells>
  <pageMargins left="0.7" right="0.7" top="0.75" bottom="0.75" header="0.3" footer="0.3"/>
  <pageSetup paperSize="9" orientation="portrait" horizontalDpi="0" verticalDpi="0"/>
  <ignoredErrors>
    <ignoredError sqref="F6" formulaRange="1"/>
  </ignoredError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24C04-E37E-6044-938D-65E470DA05A3}">
  <dimension ref="B2:N41"/>
  <sheetViews>
    <sheetView showGridLines="0" zoomScale="172" zoomScaleNormal="100" workbookViewId="0">
      <pane ySplit="2" topLeftCell="A3" activePane="bottomLeft" state="frozen"/>
      <selection pane="bottomLeft" activeCell="L8" sqref="L8"/>
    </sheetView>
  </sheetViews>
  <sheetFormatPr baseColWidth="10" defaultRowHeight="15" x14ac:dyDescent="0.2"/>
  <cols>
    <col min="1" max="1" width="3.33203125" customWidth="1"/>
    <col min="2" max="2" width="21.6640625" bestFit="1" customWidth="1"/>
    <col min="3" max="14" width="6.6640625" bestFit="1" customWidth="1"/>
  </cols>
  <sheetData>
    <row r="2" spans="2:14" x14ac:dyDescent="0.2">
      <c r="B2" s="8" t="s">
        <v>168</v>
      </c>
      <c r="C2" s="8">
        <v>42064</v>
      </c>
      <c r="D2" s="8">
        <v>42430</v>
      </c>
      <c r="E2" s="8">
        <v>42795</v>
      </c>
      <c r="F2" s="8">
        <v>43160</v>
      </c>
      <c r="G2" s="8">
        <v>43525</v>
      </c>
      <c r="H2" s="8">
        <v>43891</v>
      </c>
      <c r="I2" s="8">
        <v>44256</v>
      </c>
      <c r="J2" s="8">
        <v>44621</v>
      </c>
      <c r="K2" s="8">
        <v>44986</v>
      </c>
      <c r="L2" s="8">
        <v>45352</v>
      </c>
      <c r="M2" s="8">
        <v>45717</v>
      </c>
      <c r="N2" s="8">
        <v>46082</v>
      </c>
    </row>
    <row r="3" spans="2:14" x14ac:dyDescent="0.2">
      <c r="B3" s="96" t="s">
        <v>311</v>
      </c>
      <c r="C3" s="96">
        <v>89</v>
      </c>
      <c r="D3" s="96">
        <v>89</v>
      </c>
      <c r="E3" s="96">
        <v>89</v>
      </c>
      <c r="F3" s="96">
        <v>89</v>
      </c>
      <c r="G3" s="96">
        <v>89</v>
      </c>
      <c r="H3" s="96">
        <v>89</v>
      </c>
      <c r="I3" s="96">
        <v>89</v>
      </c>
      <c r="J3" s="96">
        <v>89</v>
      </c>
      <c r="K3" s="96">
        <v>89</v>
      </c>
      <c r="L3" s="96">
        <v>89</v>
      </c>
      <c r="M3" s="96">
        <v>89</v>
      </c>
      <c r="N3" s="96">
        <v>89</v>
      </c>
    </row>
    <row r="4" spans="2:14" x14ac:dyDescent="0.2">
      <c r="B4" s="96" t="s">
        <v>310</v>
      </c>
      <c r="C4" s="97">
        <v>2995</v>
      </c>
      <c r="D4" s="97">
        <v>3418</v>
      </c>
      <c r="E4" s="97">
        <v>4144</v>
      </c>
      <c r="F4" s="97">
        <v>5001</v>
      </c>
      <c r="G4" s="97">
        <v>5981</v>
      </c>
      <c r="H4" s="97">
        <v>6580</v>
      </c>
      <c r="I4" s="97">
        <v>7408</v>
      </c>
      <c r="J4" s="97">
        <v>9214</v>
      </c>
      <c r="K4" s="97">
        <v>11762</v>
      </c>
      <c r="L4" s="97">
        <v>9304</v>
      </c>
      <c r="M4" s="97">
        <v>11535</v>
      </c>
      <c r="N4" s="97">
        <v>15614</v>
      </c>
    </row>
    <row r="5" spans="2:14" x14ac:dyDescent="0.2">
      <c r="C5" s="22"/>
      <c r="D5" s="22"/>
      <c r="E5" s="22"/>
      <c r="F5" s="22"/>
      <c r="G5" s="22"/>
      <c r="H5" s="22"/>
      <c r="I5" s="22"/>
      <c r="J5" s="22"/>
      <c r="K5" s="22"/>
      <c r="L5" s="22"/>
      <c r="M5" s="22"/>
      <c r="N5" s="22"/>
    </row>
    <row r="6" spans="2:14" x14ac:dyDescent="0.2">
      <c r="B6" s="101" t="s">
        <v>41</v>
      </c>
      <c r="C6" s="23"/>
      <c r="D6" s="23"/>
      <c r="E6" s="93"/>
      <c r="F6" s="93"/>
      <c r="G6" s="93"/>
      <c r="H6" s="93"/>
      <c r="I6" s="93"/>
      <c r="J6" s="93"/>
      <c r="K6" s="93"/>
      <c r="L6" s="93"/>
      <c r="M6" s="93"/>
      <c r="N6" s="93"/>
    </row>
    <row r="7" spans="2:14" x14ac:dyDescent="0.2">
      <c r="B7" s="96" t="s">
        <v>309</v>
      </c>
      <c r="C7" s="96">
        <v>0</v>
      </c>
      <c r="D7" s="96">
        <v>0</v>
      </c>
      <c r="E7" s="96">
        <v>0</v>
      </c>
      <c r="F7" s="96">
        <v>0</v>
      </c>
      <c r="G7" s="96">
        <v>32</v>
      </c>
      <c r="H7" s="96">
        <v>17</v>
      </c>
      <c r="I7" s="96">
        <v>9</v>
      </c>
      <c r="J7" s="96">
        <v>2</v>
      </c>
      <c r="K7" s="96">
        <v>0</v>
      </c>
      <c r="L7" s="97">
        <v>3302</v>
      </c>
      <c r="M7" s="96">
        <v>595</v>
      </c>
      <c r="N7" s="96">
        <v>93</v>
      </c>
    </row>
    <row r="8" spans="2:14" x14ac:dyDescent="0.2">
      <c r="B8" s="96" t="s">
        <v>308</v>
      </c>
      <c r="C8" s="96">
        <v>100</v>
      </c>
      <c r="D8" s="96">
        <v>113</v>
      </c>
      <c r="E8" s="97">
        <v>1882</v>
      </c>
      <c r="F8" s="97">
        <v>1691</v>
      </c>
      <c r="G8" s="97">
        <v>2353</v>
      </c>
      <c r="H8" s="97">
        <v>2291</v>
      </c>
      <c r="I8" s="97">
        <v>4367</v>
      </c>
      <c r="J8" s="97">
        <v>5914</v>
      </c>
      <c r="K8" s="97">
        <v>7494</v>
      </c>
      <c r="L8" s="97">
        <v>9877</v>
      </c>
      <c r="M8" s="97">
        <v>17501</v>
      </c>
      <c r="N8" s="97">
        <v>27355</v>
      </c>
    </row>
    <row r="9" spans="2:14" x14ac:dyDescent="0.2">
      <c r="B9" s="96" t="s">
        <v>307</v>
      </c>
      <c r="C9" s="96">
        <v>0</v>
      </c>
      <c r="D9" s="96">
        <v>0</v>
      </c>
      <c r="E9" s="96">
        <v>0</v>
      </c>
      <c r="F9" s="96">
        <v>0</v>
      </c>
      <c r="G9" s="96">
        <v>0</v>
      </c>
      <c r="H9" s="97">
        <v>1243</v>
      </c>
      <c r="I9" s="97">
        <v>1256</v>
      </c>
      <c r="J9" s="97">
        <v>1359</v>
      </c>
      <c r="K9" s="97">
        <v>1873</v>
      </c>
      <c r="L9" s="97">
        <v>2349</v>
      </c>
      <c r="M9" s="97">
        <v>2681</v>
      </c>
      <c r="N9" s="97">
        <v>3173</v>
      </c>
    </row>
    <row r="10" spans="2:14" x14ac:dyDescent="0.2">
      <c r="B10" s="96" t="s">
        <v>306</v>
      </c>
      <c r="C10" s="96">
        <v>0</v>
      </c>
      <c r="D10" s="96">
        <v>0</v>
      </c>
      <c r="E10" s="96">
        <v>0</v>
      </c>
      <c r="F10" s="96">
        <v>0</v>
      </c>
      <c r="G10" s="96">
        <v>8</v>
      </c>
      <c r="H10" s="96">
        <v>11</v>
      </c>
      <c r="I10" s="96">
        <v>6</v>
      </c>
      <c r="J10" s="96">
        <v>0</v>
      </c>
      <c r="K10" s="96">
        <v>0</v>
      </c>
      <c r="L10" s="96">
        <v>0</v>
      </c>
      <c r="M10" s="96">
        <v>0</v>
      </c>
      <c r="N10" s="96">
        <v>0</v>
      </c>
    </row>
    <row r="11" spans="2:14" x14ac:dyDescent="0.2">
      <c r="B11" s="101" t="s">
        <v>305</v>
      </c>
      <c r="C11" s="93"/>
      <c r="D11" s="93"/>
      <c r="E11" s="93"/>
      <c r="F11" s="93"/>
      <c r="G11" s="93"/>
      <c r="H11" s="93"/>
      <c r="I11" s="93"/>
      <c r="J11" s="93"/>
      <c r="K11" s="93"/>
      <c r="L11" s="93"/>
      <c r="M11" s="93"/>
      <c r="N11" s="93"/>
    </row>
    <row r="12" spans="2:14" x14ac:dyDescent="0.2">
      <c r="B12" s="96" t="s">
        <v>304</v>
      </c>
      <c r="C12" s="96">
        <v>0</v>
      </c>
      <c r="D12" s="96">
        <v>0</v>
      </c>
      <c r="E12" s="96">
        <v>26</v>
      </c>
      <c r="F12" s="96">
        <v>-2</v>
      </c>
      <c r="G12" s="96">
        <v>14</v>
      </c>
      <c r="H12" s="96">
        <v>4</v>
      </c>
      <c r="I12" s="96">
        <v>5</v>
      </c>
      <c r="J12" s="96">
        <v>30</v>
      </c>
      <c r="K12" s="96">
        <v>53</v>
      </c>
      <c r="L12" s="96">
        <v>0</v>
      </c>
      <c r="M12" s="96">
        <v>0</v>
      </c>
      <c r="N12" s="96">
        <v>0</v>
      </c>
    </row>
    <row r="13" spans="2:14" x14ac:dyDescent="0.2">
      <c r="B13" s="96" t="s">
        <v>303</v>
      </c>
      <c r="C13" s="97">
        <v>1940</v>
      </c>
      <c r="D13" s="97">
        <v>1655</v>
      </c>
      <c r="E13" s="96">
        <v>783</v>
      </c>
      <c r="F13" s="96">
        <v>878</v>
      </c>
      <c r="G13" s="96">
        <v>906</v>
      </c>
      <c r="H13" s="96">
        <v>596</v>
      </c>
      <c r="I13" s="96">
        <v>789</v>
      </c>
      <c r="J13" s="97">
        <v>1294</v>
      </c>
      <c r="K13" s="97">
        <v>1214</v>
      </c>
      <c r="L13" s="97">
        <v>1410</v>
      </c>
      <c r="M13" s="97">
        <v>1963</v>
      </c>
      <c r="N13" s="97">
        <v>2864</v>
      </c>
    </row>
    <row r="14" spans="2:14" x14ac:dyDescent="0.2">
      <c r="B14" s="96" t="s">
        <v>302</v>
      </c>
      <c r="C14" s="96">
        <v>160</v>
      </c>
      <c r="D14" s="96">
        <v>710</v>
      </c>
      <c r="E14" s="96">
        <v>943</v>
      </c>
      <c r="F14" s="96">
        <v>233</v>
      </c>
      <c r="G14" s="96">
        <v>290</v>
      </c>
      <c r="H14" s="96">
        <v>386</v>
      </c>
      <c r="I14" s="96">
        <v>479</v>
      </c>
      <c r="J14" s="96">
        <v>532</v>
      </c>
      <c r="K14" s="96">
        <v>718</v>
      </c>
      <c r="L14" s="97">
        <v>1085</v>
      </c>
      <c r="M14" s="97">
        <v>2140</v>
      </c>
      <c r="N14" s="97">
        <v>4745</v>
      </c>
    </row>
    <row r="15" spans="2:14" x14ac:dyDescent="0.2">
      <c r="B15" s="96" t="s">
        <v>301</v>
      </c>
      <c r="C15" s="96">
        <v>585</v>
      </c>
      <c r="D15" s="96">
        <v>358</v>
      </c>
      <c r="E15" s="96">
        <v>541</v>
      </c>
      <c r="F15" s="97">
        <v>1631</v>
      </c>
      <c r="G15" s="97">
        <v>2037</v>
      </c>
      <c r="H15" s="97">
        <v>2327</v>
      </c>
      <c r="I15" s="97">
        <v>2036</v>
      </c>
      <c r="J15" s="97">
        <v>2754</v>
      </c>
      <c r="K15" s="97">
        <v>3817</v>
      </c>
      <c r="L15" s="97">
        <v>4131</v>
      </c>
      <c r="M15" s="97">
        <v>4141</v>
      </c>
      <c r="N15" s="97">
        <v>6628</v>
      </c>
    </row>
    <row r="16" spans="2:14" x14ac:dyDescent="0.2">
      <c r="B16" s="101" t="s">
        <v>170</v>
      </c>
      <c r="C16" s="102">
        <v>5868</v>
      </c>
      <c r="D16" s="102">
        <v>6342</v>
      </c>
      <c r="E16" s="102">
        <v>8408</v>
      </c>
      <c r="F16" s="102">
        <v>9521</v>
      </c>
      <c r="G16" s="102">
        <v>11710</v>
      </c>
      <c r="H16" s="102">
        <v>13544</v>
      </c>
      <c r="I16" s="102">
        <v>16444</v>
      </c>
      <c r="J16" s="102">
        <v>21188</v>
      </c>
      <c r="K16" s="102">
        <v>27020</v>
      </c>
      <c r="L16" s="102">
        <v>31547</v>
      </c>
      <c r="M16" s="102">
        <v>40645</v>
      </c>
      <c r="N16" s="102">
        <v>60561</v>
      </c>
    </row>
    <row r="17" spans="2:14" x14ac:dyDescent="0.2">
      <c r="B17" s="23"/>
      <c r="C17" s="93"/>
      <c r="D17" s="93"/>
      <c r="E17" s="93"/>
      <c r="F17" s="93"/>
      <c r="G17" s="93"/>
      <c r="H17" s="93"/>
      <c r="I17" s="93"/>
      <c r="J17" s="93"/>
      <c r="K17" s="93"/>
      <c r="L17" s="93"/>
      <c r="M17" s="93"/>
      <c r="N17" s="93"/>
    </row>
    <row r="18" spans="2:14" x14ac:dyDescent="0.2">
      <c r="B18" s="101" t="s">
        <v>300</v>
      </c>
      <c r="E18" s="22"/>
      <c r="F18" s="22"/>
      <c r="G18" s="22"/>
      <c r="H18" s="22"/>
      <c r="I18" s="22"/>
      <c r="J18" s="22"/>
      <c r="K18" s="22"/>
      <c r="L18" s="22"/>
      <c r="M18" s="22"/>
      <c r="N18" s="22"/>
    </row>
    <row r="19" spans="2:14" x14ac:dyDescent="0.2">
      <c r="B19" s="96" t="s">
        <v>299</v>
      </c>
      <c r="C19" s="96">
        <v>104</v>
      </c>
      <c r="D19" s="96">
        <v>85</v>
      </c>
      <c r="E19" s="96">
        <v>85</v>
      </c>
      <c r="F19" s="96">
        <v>85</v>
      </c>
      <c r="G19" s="96">
        <v>85</v>
      </c>
      <c r="H19" s="96">
        <v>108</v>
      </c>
      <c r="I19" s="96">
        <v>108</v>
      </c>
      <c r="J19" s="96">
        <v>136</v>
      </c>
      <c r="K19" s="96">
        <v>144</v>
      </c>
      <c r="L19" s="96">
        <v>163</v>
      </c>
      <c r="M19" s="96">
        <v>163</v>
      </c>
      <c r="N19" s="96">
        <v>440</v>
      </c>
    </row>
    <row r="20" spans="2:14" x14ac:dyDescent="0.2">
      <c r="B20" s="96" t="s">
        <v>298</v>
      </c>
      <c r="C20" s="96">
        <v>156</v>
      </c>
      <c r="D20" s="96">
        <v>137</v>
      </c>
      <c r="E20" s="96">
        <v>198</v>
      </c>
      <c r="F20" s="96">
        <v>341</v>
      </c>
      <c r="G20" s="96">
        <v>386</v>
      </c>
      <c r="H20" s="97">
        <v>1473</v>
      </c>
      <c r="I20" s="97">
        <v>1617</v>
      </c>
      <c r="J20" s="97">
        <v>1853</v>
      </c>
      <c r="K20" s="97">
        <v>2403</v>
      </c>
      <c r="L20" s="97">
        <v>3546</v>
      </c>
      <c r="M20" s="97">
        <v>4177</v>
      </c>
      <c r="N20" s="97">
        <v>5239</v>
      </c>
    </row>
    <row r="21" spans="2:14" x14ac:dyDescent="0.2">
      <c r="B21" s="96" t="s">
        <v>297</v>
      </c>
      <c r="C21" s="96">
        <v>719</v>
      </c>
      <c r="D21" s="96">
        <v>445</v>
      </c>
      <c r="E21" s="96">
        <v>473</v>
      </c>
      <c r="F21" s="96">
        <v>563</v>
      </c>
      <c r="G21" s="96">
        <v>630</v>
      </c>
      <c r="H21" s="96">
        <v>724</v>
      </c>
      <c r="I21" s="96">
        <v>739</v>
      </c>
      <c r="J21" s="96">
        <v>768</v>
      </c>
      <c r="K21" s="96">
        <v>838</v>
      </c>
      <c r="L21" s="96">
        <v>899</v>
      </c>
      <c r="M21" s="97">
        <v>1012</v>
      </c>
      <c r="N21" s="97">
        <v>1197</v>
      </c>
    </row>
    <row r="22" spans="2:14" x14ac:dyDescent="0.2">
      <c r="B22" s="96" t="s">
        <v>296</v>
      </c>
      <c r="C22" s="96">
        <v>24</v>
      </c>
      <c r="D22" s="96">
        <v>18</v>
      </c>
      <c r="E22" s="96">
        <v>24</v>
      </c>
      <c r="F22" s="96">
        <v>34</v>
      </c>
      <c r="G22" s="96">
        <v>50</v>
      </c>
      <c r="H22" s="96">
        <v>70</v>
      </c>
      <c r="I22" s="96">
        <v>76</v>
      </c>
      <c r="J22" s="96">
        <v>96</v>
      </c>
      <c r="K22" s="96">
        <v>130</v>
      </c>
      <c r="L22" s="96">
        <v>110</v>
      </c>
      <c r="M22" s="96">
        <v>127</v>
      </c>
      <c r="N22" s="96">
        <v>176</v>
      </c>
    </row>
    <row r="23" spans="2:14" x14ac:dyDescent="0.2">
      <c r="B23" s="96" t="s">
        <v>295</v>
      </c>
      <c r="C23" s="96">
        <v>0</v>
      </c>
      <c r="D23" s="96">
        <v>0</v>
      </c>
      <c r="E23" s="96">
        <v>46</v>
      </c>
      <c r="F23" s="96">
        <v>72</v>
      </c>
      <c r="G23" s="96">
        <v>92</v>
      </c>
      <c r="H23" s="96">
        <v>119</v>
      </c>
      <c r="I23" s="96">
        <v>142</v>
      </c>
      <c r="J23" s="96">
        <v>159</v>
      </c>
      <c r="K23" s="96">
        <v>204</v>
      </c>
      <c r="L23" s="96">
        <v>212</v>
      </c>
      <c r="M23" s="96">
        <v>228</v>
      </c>
      <c r="N23" s="96">
        <v>264</v>
      </c>
    </row>
    <row r="24" spans="2:14" x14ac:dyDescent="0.2">
      <c r="B24" s="96" t="s">
        <v>294</v>
      </c>
      <c r="C24" s="96">
        <v>189</v>
      </c>
      <c r="D24" s="96">
        <v>107</v>
      </c>
      <c r="E24" s="96">
        <v>138</v>
      </c>
      <c r="F24" s="96">
        <v>203</v>
      </c>
      <c r="G24" s="96">
        <v>251</v>
      </c>
      <c r="H24" s="96">
        <v>313</v>
      </c>
      <c r="I24" s="96">
        <v>309</v>
      </c>
      <c r="J24" s="96">
        <v>321</v>
      </c>
      <c r="K24" s="96">
        <v>376</v>
      </c>
      <c r="L24" s="96">
        <v>173</v>
      </c>
      <c r="M24" s="96">
        <v>193</v>
      </c>
      <c r="N24" s="96">
        <v>379</v>
      </c>
    </row>
    <row r="25" spans="2:14" x14ac:dyDescent="0.2">
      <c r="B25" s="96" t="s">
        <v>293</v>
      </c>
      <c r="C25" s="96">
        <v>17</v>
      </c>
      <c r="D25" s="96">
        <v>11</v>
      </c>
      <c r="E25" s="96">
        <v>10</v>
      </c>
      <c r="F25" s="96">
        <v>16</v>
      </c>
      <c r="G25" s="96">
        <v>22</v>
      </c>
      <c r="H25" s="96">
        <v>28</v>
      </c>
      <c r="I25" s="96">
        <v>30</v>
      </c>
      <c r="J25" s="96">
        <v>38</v>
      </c>
      <c r="K25" s="96">
        <v>40</v>
      </c>
      <c r="L25" s="96">
        <v>50</v>
      </c>
      <c r="M25" s="96">
        <v>57</v>
      </c>
      <c r="N25" s="96">
        <v>68</v>
      </c>
    </row>
    <row r="26" spans="2:14" x14ac:dyDescent="0.2">
      <c r="B26" s="96" t="s">
        <v>292</v>
      </c>
      <c r="C26" s="96">
        <v>0</v>
      </c>
      <c r="D26" s="96">
        <v>13</v>
      </c>
      <c r="E26" s="96">
        <v>318</v>
      </c>
      <c r="F26" s="96">
        <v>319</v>
      </c>
      <c r="G26" s="96">
        <v>319</v>
      </c>
      <c r="H26" s="96">
        <v>333</v>
      </c>
      <c r="I26" s="96">
        <v>320</v>
      </c>
      <c r="J26" s="96">
        <v>320</v>
      </c>
      <c r="K26" s="96">
        <v>320</v>
      </c>
      <c r="L26" s="96">
        <v>320</v>
      </c>
      <c r="M26" s="96">
        <v>320</v>
      </c>
      <c r="N26" s="97">
        <v>1782</v>
      </c>
    </row>
    <row r="27" spans="2:14" x14ac:dyDescent="0.2">
      <c r="B27" s="96" t="s">
        <v>291</v>
      </c>
      <c r="C27" s="96">
        <v>73</v>
      </c>
      <c r="D27" s="96">
        <v>20</v>
      </c>
      <c r="E27" s="96">
        <v>26</v>
      </c>
      <c r="F27" s="96">
        <v>69</v>
      </c>
      <c r="G27" s="96">
        <v>96</v>
      </c>
      <c r="H27" s="96">
        <v>135</v>
      </c>
      <c r="I27" s="96">
        <v>158</v>
      </c>
      <c r="J27" s="96">
        <v>157</v>
      </c>
      <c r="K27" s="96">
        <v>205</v>
      </c>
      <c r="L27" s="96">
        <v>305</v>
      </c>
      <c r="M27" s="96">
        <v>369</v>
      </c>
      <c r="N27" s="96">
        <v>540</v>
      </c>
    </row>
    <row r="28" spans="2:14" x14ac:dyDescent="0.2">
      <c r="B28" s="101" t="s">
        <v>274</v>
      </c>
      <c r="C28" s="102">
        <v>1282</v>
      </c>
      <c r="D28" s="101">
        <v>836</v>
      </c>
      <c r="E28" s="102">
        <v>1318</v>
      </c>
      <c r="F28" s="102">
        <v>1704</v>
      </c>
      <c r="G28" s="102">
        <v>1931</v>
      </c>
      <c r="H28" s="102">
        <v>3303</v>
      </c>
      <c r="I28" s="102">
        <v>3499</v>
      </c>
      <c r="J28" s="102">
        <v>3848</v>
      </c>
      <c r="K28" s="102">
        <v>4660</v>
      </c>
      <c r="L28" s="102">
        <v>5778</v>
      </c>
      <c r="M28" s="102">
        <v>6646</v>
      </c>
      <c r="N28" s="102">
        <v>10085</v>
      </c>
    </row>
    <row r="29" spans="2:14" x14ac:dyDescent="0.2">
      <c r="B29" s="96" t="s">
        <v>290</v>
      </c>
      <c r="C29" s="96">
        <v>583</v>
      </c>
      <c r="D29" s="96">
        <v>66</v>
      </c>
      <c r="E29" s="96">
        <v>130</v>
      </c>
      <c r="F29" s="96">
        <v>230</v>
      </c>
      <c r="G29" s="96">
        <v>365</v>
      </c>
      <c r="H29" s="96">
        <v>670</v>
      </c>
      <c r="I29" s="96">
        <v>976</v>
      </c>
      <c r="J29" s="97">
        <v>1304</v>
      </c>
      <c r="K29" s="97">
        <v>1662</v>
      </c>
      <c r="L29" s="97">
        <v>2069</v>
      </c>
      <c r="M29" s="97">
        <v>2584</v>
      </c>
      <c r="N29" s="97">
        <v>3207</v>
      </c>
    </row>
    <row r="30" spans="2:14" x14ac:dyDescent="0.2">
      <c r="B30" s="101" t="s">
        <v>289</v>
      </c>
      <c r="C30" s="93">
        <f t="shared" ref="C30:N30" si="0">C28-C29</f>
        <v>699</v>
      </c>
      <c r="D30" s="93">
        <f t="shared" si="0"/>
        <v>770</v>
      </c>
      <c r="E30" s="93">
        <f t="shared" si="0"/>
        <v>1188</v>
      </c>
      <c r="F30" s="93">
        <f t="shared" si="0"/>
        <v>1474</v>
      </c>
      <c r="G30" s="93">
        <f t="shared" si="0"/>
        <v>1566</v>
      </c>
      <c r="H30" s="93">
        <f t="shared" si="0"/>
        <v>2633</v>
      </c>
      <c r="I30" s="93">
        <f t="shared" si="0"/>
        <v>2523</v>
      </c>
      <c r="J30" s="93">
        <f t="shared" si="0"/>
        <v>2544</v>
      </c>
      <c r="K30" s="93">
        <f t="shared" si="0"/>
        <v>2998</v>
      </c>
      <c r="L30" s="93">
        <f t="shared" si="0"/>
        <v>3709</v>
      </c>
      <c r="M30" s="93">
        <f t="shared" si="0"/>
        <v>4062</v>
      </c>
      <c r="N30" s="93">
        <f t="shared" si="0"/>
        <v>6878</v>
      </c>
    </row>
    <row r="31" spans="2:14" x14ac:dyDescent="0.2">
      <c r="J31" s="22"/>
      <c r="K31" s="22"/>
      <c r="L31" s="22"/>
      <c r="M31" s="22"/>
      <c r="N31" s="22"/>
    </row>
    <row r="32" spans="2:14" x14ac:dyDescent="0.2">
      <c r="B32" s="96" t="s">
        <v>288</v>
      </c>
      <c r="C32" s="96">
        <v>55</v>
      </c>
      <c r="D32" s="96">
        <v>107</v>
      </c>
      <c r="E32" s="96">
        <v>152</v>
      </c>
      <c r="F32" s="96">
        <v>43</v>
      </c>
      <c r="G32" s="96">
        <v>32</v>
      </c>
      <c r="H32" s="96">
        <v>18</v>
      </c>
      <c r="I32" s="96">
        <v>32</v>
      </c>
      <c r="J32" s="96">
        <v>85</v>
      </c>
      <c r="K32" s="96">
        <v>144</v>
      </c>
      <c r="L32" s="96">
        <v>97</v>
      </c>
      <c r="M32" s="96">
        <v>105</v>
      </c>
      <c r="N32" s="96">
        <v>163</v>
      </c>
    </row>
    <row r="33" spans="2:14" x14ac:dyDescent="0.2">
      <c r="B33" s="96" t="s">
        <v>287</v>
      </c>
      <c r="C33" s="96">
        <v>3</v>
      </c>
      <c r="D33" s="96">
        <v>30</v>
      </c>
      <c r="E33" s="96">
        <v>431</v>
      </c>
      <c r="F33" s="96">
        <v>36</v>
      </c>
      <c r="G33" s="96">
        <v>108</v>
      </c>
      <c r="H33" s="96">
        <v>158</v>
      </c>
      <c r="I33" s="97">
        <v>2824</v>
      </c>
      <c r="J33" s="96">
        <v>294</v>
      </c>
      <c r="K33" s="97">
        <v>2515</v>
      </c>
      <c r="L33" s="97">
        <v>2345</v>
      </c>
      <c r="M33" s="97">
        <v>1988</v>
      </c>
      <c r="N33" s="97">
        <v>3506</v>
      </c>
    </row>
    <row r="34" spans="2:14" x14ac:dyDescent="0.2">
      <c r="I34" s="22"/>
      <c r="K34" s="22"/>
      <c r="L34" s="22"/>
      <c r="M34" s="22"/>
      <c r="N34" s="22"/>
    </row>
    <row r="35" spans="2:14" x14ac:dyDescent="0.2">
      <c r="B35" s="101" t="s">
        <v>286</v>
      </c>
      <c r="C35" s="22"/>
      <c r="D35" s="22"/>
      <c r="E35" s="22"/>
      <c r="F35" s="22"/>
      <c r="G35" s="22"/>
      <c r="H35" s="22"/>
      <c r="I35" s="22"/>
      <c r="J35" s="22"/>
      <c r="K35" s="22"/>
      <c r="L35" s="22"/>
      <c r="M35" s="22"/>
      <c r="N35" s="22"/>
    </row>
    <row r="36" spans="2:14" x14ac:dyDescent="0.2">
      <c r="B36" s="96" t="s">
        <v>285</v>
      </c>
      <c r="C36" s="97">
        <v>4049</v>
      </c>
      <c r="D36" s="97">
        <v>4447</v>
      </c>
      <c r="E36" s="97">
        <v>4926</v>
      </c>
      <c r="F36" s="97">
        <v>5925</v>
      </c>
      <c r="G36" s="97">
        <v>7039</v>
      </c>
      <c r="H36" s="97">
        <v>8103</v>
      </c>
      <c r="I36" s="97">
        <v>8408</v>
      </c>
      <c r="J36" s="97">
        <v>13609</v>
      </c>
      <c r="K36" s="97">
        <v>16584</v>
      </c>
      <c r="L36" s="97">
        <v>19051</v>
      </c>
      <c r="M36" s="97">
        <v>28184</v>
      </c>
      <c r="N36" s="97">
        <v>42743</v>
      </c>
    </row>
    <row r="37" spans="2:14" x14ac:dyDescent="0.2">
      <c r="B37" s="96" t="s">
        <v>284</v>
      </c>
      <c r="C37" s="96">
        <v>190</v>
      </c>
      <c r="D37" s="96">
        <v>192</v>
      </c>
      <c r="E37" s="96">
        <v>208</v>
      </c>
      <c r="F37" s="96">
        <v>296</v>
      </c>
      <c r="G37" s="96">
        <v>420</v>
      </c>
      <c r="H37" s="96">
        <v>312</v>
      </c>
      <c r="I37" s="96">
        <v>366</v>
      </c>
      <c r="J37" s="96">
        <v>565</v>
      </c>
      <c r="K37" s="96">
        <v>674</v>
      </c>
      <c r="L37" s="97">
        <v>1018</v>
      </c>
      <c r="M37" s="97">
        <v>1068</v>
      </c>
      <c r="N37" s="96">
        <v>916</v>
      </c>
    </row>
    <row r="38" spans="2:14" x14ac:dyDescent="0.2">
      <c r="B38" s="96" t="s">
        <v>283</v>
      </c>
      <c r="C38" s="96">
        <v>214</v>
      </c>
      <c r="D38" s="96">
        <v>116</v>
      </c>
      <c r="E38" s="96">
        <v>779</v>
      </c>
      <c r="F38" s="96">
        <v>618</v>
      </c>
      <c r="G38" s="97">
        <v>1066</v>
      </c>
      <c r="H38" s="96">
        <v>381</v>
      </c>
      <c r="I38" s="96">
        <v>560</v>
      </c>
      <c r="J38" s="97">
        <v>1573</v>
      </c>
      <c r="K38" s="97">
        <v>1343</v>
      </c>
      <c r="L38" s="97">
        <v>1526</v>
      </c>
      <c r="M38" s="97">
        <v>1584</v>
      </c>
      <c r="N38" s="97">
        <v>1917</v>
      </c>
    </row>
    <row r="39" spans="2:14" x14ac:dyDescent="0.2">
      <c r="B39" s="96" t="s">
        <v>282</v>
      </c>
      <c r="C39" s="96">
        <v>47</v>
      </c>
      <c r="D39" s="96">
        <v>87</v>
      </c>
      <c r="E39" s="96">
        <v>122</v>
      </c>
      <c r="F39" s="96">
        <v>141</v>
      </c>
      <c r="G39" s="96">
        <v>25</v>
      </c>
      <c r="H39" s="96">
        <v>142</v>
      </c>
      <c r="I39" s="96">
        <v>109</v>
      </c>
      <c r="J39" s="96">
        <v>29</v>
      </c>
      <c r="K39" s="96">
        <v>167</v>
      </c>
      <c r="L39" s="96">
        <v>151</v>
      </c>
      <c r="M39" s="96">
        <v>324</v>
      </c>
      <c r="N39" s="96">
        <v>399</v>
      </c>
    </row>
    <row r="40" spans="2:14" x14ac:dyDescent="0.2">
      <c r="B40" s="96" t="s">
        <v>281</v>
      </c>
      <c r="C40" s="96">
        <v>611</v>
      </c>
      <c r="D40" s="96">
        <v>591</v>
      </c>
      <c r="E40" s="96">
        <v>602</v>
      </c>
      <c r="F40" s="96">
        <v>988</v>
      </c>
      <c r="G40" s="97">
        <v>1452</v>
      </c>
      <c r="H40" s="97">
        <v>1797</v>
      </c>
      <c r="I40" s="97">
        <v>1622</v>
      </c>
      <c r="J40" s="97">
        <v>2489</v>
      </c>
      <c r="K40" s="97">
        <v>2595</v>
      </c>
      <c r="L40" s="97">
        <v>3650</v>
      </c>
      <c r="M40" s="97">
        <v>3330</v>
      </c>
      <c r="N40" s="97">
        <v>4039</v>
      </c>
    </row>
    <row r="41" spans="2:14" x14ac:dyDescent="0.2">
      <c r="B41" s="101" t="s">
        <v>96</v>
      </c>
      <c r="C41" s="102">
        <v>5868</v>
      </c>
      <c r="D41" s="102">
        <v>6342</v>
      </c>
      <c r="E41" s="102">
        <v>8408</v>
      </c>
      <c r="F41" s="102">
        <v>9521</v>
      </c>
      <c r="G41" s="102">
        <v>11710</v>
      </c>
      <c r="H41" s="102">
        <v>13544</v>
      </c>
      <c r="I41" s="102">
        <v>16444</v>
      </c>
      <c r="J41" s="102">
        <v>21188</v>
      </c>
      <c r="K41" s="102">
        <v>27020</v>
      </c>
      <c r="L41" s="102">
        <v>31547</v>
      </c>
      <c r="M41" s="102">
        <v>40645</v>
      </c>
      <c r="N41" s="102">
        <v>60561</v>
      </c>
    </row>
  </sheetData>
  <sheetProtection sheet="1" objects="1" scenarios="1"/>
  <pageMargins left="0.7" right="0.7" top="0.75" bottom="0.75" header="0.3" footer="0.3"/>
  <pageSetup paperSize="9" orientation="portrait" horizontalDpi="0" verticalDpi="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DA76C-9F1C-2543-8199-0039362E51AD}">
  <dimension ref="B2:O30"/>
  <sheetViews>
    <sheetView showGridLines="0" zoomScale="125" workbookViewId="0">
      <selection activeCell="E12" sqref="E12"/>
    </sheetView>
  </sheetViews>
  <sheetFormatPr baseColWidth="10" defaultRowHeight="15" x14ac:dyDescent="0.2"/>
  <cols>
    <col min="2" max="2" width="5.1640625" bestFit="1" customWidth="1"/>
    <col min="3" max="3" width="14.33203125" bestFit="1" customWidth="1"/>
    <col min="4" max="4" width="8.1640625" bestFit="1" customWidth="1"/>
    <col min="5" max="5" width="14.33203125" bestFit="1" customWidth="1"/>
    <col min="6" max="6" width="14.33203125" customWidth="1"/>
    <col min="7" max="7" width="9.5" bestFit="1" customWidth="1"/>
    <col min="8" max="9" width="14.83203125" bestFit="1" customWidth="1"/>
    <col min="10" max="10" width="10.1640625" customWidth="1"/>
    <col min="11" max="11" width="10.1640625" bestFit="1" customWidth="1"/>
    <col min="12" max="12" width="10.1640625" customWidth="1"/>
    <col min="13" max="13" width="9.6640625" bestFit="1" customWidth="1"/>
    <col min="15" max="15" width="11.83203125" bestFit="1" customWidth="1"/>
  </cols>
  <sheetData>
    <row r="2" spans="2:15" s="122" customFormat="1" x14ac:dyDescent="0.2">
      <c r="B2" s="122" t="s">
        <v>267</v>
      </c>
      <c r="C2" s="122" t="s">
        <v>212</v>
      </c>
      <c r="D2" s="122" t="s">
        <v>354</v>
      </c>
      <c r="E2" s="122" t="s">
        <v>266</v>
      </c>
      <c r="F2" s="122" t="s">
        <v>367</v>
      </c>
      <c r="G2" s="122" t="s">
        <v>383</v>
      </c>
      <c r="H2" s="122" t="s">
        <v>264</v>
      </c>
      <c r="I2" s="122" t="s">
        <v>368</v>
      </c>
      <c r="J2" s="122" t="s">
        <v>393</v>
      </c>
      <c r="K2" s="122" t="s">
        <v>369</v>
      </c>
      <c r="L2" s="122" t="s">
        <v>370</v>
      </c>
      <c r="M2" s="122" t="s">
        <v>75</v>
      </c>
      <c r="N2" s="122" t="s">
        <v>372</v>
      </c>
      <c r="O2" s="122" t="s">
        <v>371</v>
      </c>
    </row>
    <row r="3" spans="2:15" x14ac:dyDescent="0.2">
      <c r="B3" s="96">
        <v>1</v>
      </c>
      <c r="C3" s="96" t="s">
        <v>205</v>
      </c>
      <c r="D3" s="96" t="s">
        <v>312</v>
      </c>
      <c r="E3" s="46">
        <f>Teaser!B11</f>
        <v>5169</v>
      </c>
      <c r="F3" s="121">
        <v>88.78</v>
      </c>
      <c r="G3" s="46">
        <f>F3*E3</f>
        <v>458903.82</v>
      </c>
      <c r="H3" s="121">
        <v>30621</v>
      </c>
      <c r="I3" s="121">
        <v>1584</v>
      </c>
      <c r="J3" s="68">
        <f>H3-I3</f>
        <v>29037</v>
      </c>
      <c r="K3" s="121">
        <v>479699.31</v>
      </c>
      <c r="L3" s="121">
        <v>92417</v>
      </c>
      <c r="M3" s="46">
        <f t="shared" ref="M3:M12" si="0">K3/O3</f>
        <v>10012.509079524109</v>
      </c>
      <c r="N3" s="121">
        <v>5760</v>
      </c>
      <c r="O3" s="96">
        <v>47.91</v>
      </c>
    </row>
    <row r="4" spans="2:15" x14ac:dyDescent="0.2">
      <c r="B4" s="96">
        <v>2</v>
      </c>
      <c r="C4" s="96" t="s">
        <v>204</v>
      </c>
      <c r="D4" s="96" t="s">
        <v>384</v>
      </c>
      <c r="E4" s="121">
        <v>615.79999999999995</v>
      </c>
      <c r="F4" s="121">
        <v>103.28</v>
      </c>
      <c r="G4" s="46">
        <f t="shared" ref="F4:G30" si="1">F4*E4</f>
        <v>63599.823999999993</v>
      </c>
      <c r="H4" s="121">
        <v>6117.33</v>
      </c>
      <c r="I4" s="121">
        <v>1031.07</v>
      </c>
      <c r="J4" s="68">
        <f t="shared" ref="J4:J12" si="2">H4-I4</f>
        <v>5086.26</v>
      </c>
      <c r="K4" s="121">
        <v>67567.5</v>
      </c>
      <c r="L4" s="121">
        <v>39063.32</v>
      </c>
      <c r="M4" s="46">
        <f t="shared" si="0"/>
        <v>2833.018867924528</v>
      </c>
      <c r="N4" s="121">
        <v>1434.98</v>
      </c>
      <c r="O4" s="96">
        <v>23.85</v>
      </c>
    </row>
    <row r="5" spans="2:15" x14ac:dyDescent="0.2">
      <c r="B5" s="96">
        <v>3</v>
      </c>
      <c r="C5" s="96" t="s">
        <v>203</v>
      </c>
      <c r="D5" s="96" t="s">
        <v>385</v>
      </c>
      <c r="E5" s="121">
        <v>5440.5</v>
      </c>
      <c r="F5" s="121">
        <v>3.11</v>
      </c>
      <c r="G5" s="46">
        <f t="shared" si="1"/>
        <v>16919.954999999998</v>
      </c>
      <c r="H5" s="121">
        <v>913.21</v>
      </c>
      <c r="I5" s="121">
        <v>241.79</v>
      </c>
      <c r="J5" s="68">
        <f t="shared" si="2"/>
        <v>671.42000000000007</v>
      </c>
      <c r="K5" s="121">
        <v>17654.38</v>
      </c>
      <c r="L5" s="121">
        <v>9622.2800000000007</v>
      </c>
      <c r="M5" s="46">
        <f t="shared" si="0"/>
        <v>636.88239538239543</v>
      </c>
      <c r="N5" s="121">
        <v>391.04</v>
      </c>
      <c r="O5" s="96">
        <v>27.72</v>
      </c>
    </row>
    <row r="6" spans="2:15" x14ac:dyDescent="0.2">
      <c r="B6" s="96">
        <v>4</v>
      </c>
      <c r="C6" s="96" t="s">
        <v>202</v>
      </c>
      <c r="D6" s="96" t="s">
        <v>386</v>
      </c>
      <c r="E6" s="121">
        <v>794.7</v>
      </c>
      <c r="F6" s="121">
        <v>15.27</v>
      </c>
      <c r="G6" s="46">
        <f t="shared" si="1"/>
        <v>12135.069</v>
      </c>
      <c r="H6" s="121">
        <v>1983.89</v>
      </c>
      <c r="I6" s="121">
        <v>186.89</v>
      </c>
      <c r="J6" s="68">
        <f t="shared" si="2"/>
        <v>1797</v>
      </c>
      <c r="K6" s="121">
        <v>14388.71</v>
      </c>
      <c r="L6" s="121">
        <v>2680.6</v>
      </c>
      <c r="M6" s="46">
        <f t="shared" si="0"/>
        <v>488.41513917175826</v>
      </c>
      <c r="N6" s="121">
        <v>53.89</v>
      </c>
      <c r="O6" s="96">
        <v>29.46</v>
      </c>
    </row>
    <row r="7" spans="2:15" x14ac:dyDescent="0.2">
      <c r="B7" s="96">
        <v>5</v>
      </c>
      <c r="C7" s="96" t="s">
        <v>201</v>
      </c>
      <c r="D7" s="96" t="s">
        <v>387</v>
      </c>
      <c r="E7" s="121">
        <v>811.4</v>
      </c>
      <c r="F7" s="121">
        <v>15.49</v>
      </c>
      <c r="G7" s="46">
        <f t="shared" si="1"/>
        <v>12568.585999999999</v>
      </c>
      <c r="H7" s="121">
        <v>869.11</v>
      </c>
      <c r="I7" s="121">
        <v>175.13</v>
      </c>
      <c r="J7" s="68">
        <f t="shared" si="2"/>
        <v>693.98</v>
      </c>
      <c r="K7" s="121">
        <v>13085.52</v>
      </c>
      <c r="L7" s="121">
        <v>7176.44</v>
      </c>
      <c r="M7" s="46">
        <f t="shared" si="0"/>
        <v>559.68862275449101</v>
      </c>
      <c r="N7" s="121">
        <v>343.15</v>
      </c>
      <c r="O7" s="96">
        <v>23.38</v>
      </c>
    </row>
    <row r="8" spans="2:15" x14ac:dyDescent="0.2">
      <c r="B8" s="96">
        <v>6</v>
      </c>
      <c r="C8" s="96" t="s">
        <v>373</v>
      </c>
      <c r="D8" s="96" t="s">
        <v>388</v>
      </c>
      <c r="E8" s="121">
        <v>10.94</v>
      </c>
      <c r="F8" s="121">
        <v>975.21</v>
      </c>
      <c r="G8" s="46">
        <f t="shared" si="1"/>
        <v>10668.797399999999</v>
      </c>
      <c r="H8" s="121">
        <v>1166.56</v>
      </c>
      <c r="I8" s="121">
        <v>63.78</v>
      </c>
      <c r="J8" s="68">
        <f t="shared" si="2"/>
        <v>1102.78</v>
      </c>
      <c r="K8" s="121">
        <v>10997.06</v>
      </c>
      <c r="L8" s="121">
        <v>3505.01</v>
      </c>
      <c r="M8" s="46">
        <f t="shared" si="0"/>
        <v>901.39836065573775</v>
      </c>
      <c r="N8" s="121">
        <v>774.41</v>
      </c>
      <c r="O8" s="96">
        <v>12.2</v>
      </c>
    </row>
    <row r="9" spans="2:15" x14ac:dyDescent="0.2">
      <c r="B9" s="96">
        <v>7</v>
      </c>
      <c r="C9" s="96" t="s">
        <v>374</v>
      </c>
      <c r="D9" s="96" t="s">
        <v>389</v>
      </c>
      <c r="E9" s="121">
        <v>598</v>
      </c>
      <c r="F9" s="121">
        <v>14.72</v>
      </c>
      <c r="G9" s="46">
        <f t="shared" si="1"/>
        <v>8802.56</v>
      </c>
      <c r="H9" s="121">
        <v>1737.09</v>
      </c>
      <c r="I9" s="121">
        <v>528.69000000000005</v>
      </c>
      <c r="J9" s="68">
        <f t="shared" si="2"/>
        <v>1208.3999999999999</v>
      </c>
      <c r="K9" s="121">
        <v>10153.18</v>
      </c>
      <c r="L9" s="121">
        <v>11437.52</v>
      </c>
      <c r="M9" s="46">
        <f t="shared" si="0"/>
        <v>773.28103579588731</v>
      </c>
      <c r="N9" s="121">
        <v>445.82</v>
      </c>
      <c r="O9" s="96">
        <v>13.13</v>
      </c>
    </row>
    <row r="10" spans="2:15" x14ac:dyDescent="0.2">
      <c r="B10" s="96">
        <v>8</v>
      </c>
      <c r="C10" s="96" t="s">
        <v>375</v>
      </c>
      <c r="D10" s="96" t="s">
        <v>390</v>
      </c>
      <c r="E10" s="121">
        <v>2875.1</v>
      </c>
      <c r="F10" s="121">
        <v>2.68</v>
      </c>
      <c r="G10" s="46">
        <f t="shared" si="1"/>
        <v>7705.268</v>
      </c>
      <c r="H10" s="121">
        <v>322.32</v>
      </c>
      <c r="I10" s="121">
        <v>220.02</v>
      </c>
      <c r="J10" s="68">
        <f t="shared" si="2"/>
        <v>102.29999999999998</v>
      </c>
      <c r="K10" s="121">
        <v>7277.25</v>
      </c>
      <c r="L10" s="121">
        <v>1727.63</v>
      </c>
      <c r="M10" s="46">
        <f t="shared" si="0"/>
        <v>271.74197162061239</v>
      </c>
      <c r="N10" s="121">
        <v>105.78</v>
      </c>
      <c r="O10" s="96">
        <v>26.78</v>
      </c>
    </row>
    <row r="11" spans="2:15" x14ac:dyDescent="0.2">
      <c r="B11" s="96">
        <v>9</v>
      </c>
      <c r="C11" s="96" t="s">
        <v>376</v>
      </c>
      <c r="D11" s="96" t="s">
        <v>391</v>
      </c>
      <c r="E11" s="121">
        <v>653.75</v>
      </c>
      <c r="F11" s="121">
        <v>10.1</v>
      </c>
      <c r="G11" s="46">
        <f t="shared" si="1"/>
        <v>6602.875</v>
      </c>
      <c r="H11" s="121">
        <v>71.41</v>
      </c>
      <c r="I11" s="121">
        <v>0.02</v>
      </c>
      <c r="J11" s="68">
        <f t="shared" si="2"/>
        <v>71.39</v>
      </c>
      <c r="K11" s="121">
        <v>6109.62</v>
      </c>
      <c r="L11" s="121">
        <v>848.55</v>
      </c>
      <c r="M11" s="46">
        <f t="shared" si="0"/>
        <v>129.96426292278238</v>
      </c>
      <c r="N11" s="121">
        <v>85.79</v>
      </c>
      <c r="O11" s="96">
        <v>47.01</v>
      </c>
    </row>
    <row r="12" spans="2:15" x14ac:dyDescent="0.2">
      <c r="B12" s="96">
        <v>10</v>
      </c>
      <c r="C12" s="96" t="s">
        <v>377</v>
      </c>
      <c r="D12" s="96" t="s">
        <v>392</v>
      </c>
      <c r="E12" s="121">
        <v>354.85</v>
      </c>
      <c r="F12" s="121">
        <v>16.39</v>
      </c>
      <c r="G12" s="46">
        <f t="shared" si="1"/>
        <v>5815.991500000001</v>
      </c>
      <c r="H12" s="121">
        <v>2699.11</v>
      </c>
      <c r="I12" s="121">
        <v>590.85</v>
      </c>
      <c r="J12" s="68">
        <f t="shared" si="2"/>
        <v>2108.2600000000002</v>
      </c>
      <c r="K12" s="121">
        <v>7841.16</v>
      </c>
      <c r="L12" s="121">
        <v>9659.7900000000009</v>
      </c>
      <c r="M12" s="46">
        <f t="shared" si="0"/>
        <v>1075.6049382716049</v>
      </c>
      <c r="N12" s="121">
        <v>570.79999999999995</v>
      </c>
      <c r="O12" s="96">
        <v>7.29</v>
      </c>
    </row>
    <row r="13" spans="2:15" x14ac:dyDescent="0.2">
      <c r="D13" s="46"/>
      <c r="E13" s="46"/>
      <c r="F13" s="46"/>
      <c r="G13" s="46"/>
      <c r="H13" s="46"/>
      <c r="I13" s="46"/>
      <c r="J13" s="46"/>
      <c r="K13" s="46"/>
      <c r="L13" s="46"/>
      <c r="O13" s="46"/>
    </row>
    <row r="14" spans="2:15" x14ac:dyDescent="0.2">
      <c r="D14" s="46"/>
      <c r="E14" s="46"/>
      <c r="F14" s="46"/>
      <c r="G14" s="46"/>
      <c r="H14" s="46"/>
      <c r="I14" s="46"/>
      <c r="J14" s="46"/>
      <c r="K14" s="46"/>
      <c r="L14" s="46"/>
      <c r="O14" s="46"/>
    </row>
    <row r="15" spans="2:15" x14ac:dyDescent="0.2">
      <c r="D15" s="46"/>
      <c r="E15" s="46"/>
      <c r="F15" s="46"/>
      <c r="G15" s="46"/>
      <c r="H15" s="46"/>
      <c r="I15" s="46"/>
      <c r="J15" s="46"/>
      <c r="K15" s="46"/>
      <c r="L15" s="46"/>
      <c r="O15" s="46"/>
    </row>
    <row r="16" spans="2:15" x14ac:dyDescent="0.2">
      <c r="D16" s="46"/>
      <c r="E16" s="46"/>
      <c r="F16" s="46"/>
      <c r="G16" s="46"/>
      <c r="H16" s="46"/>
      <c r="I16" s="46"/>
      <c r="J16" s="46"/>
      <c r="K16" s="46"/>
      <c r="L16" s="46"/>
      <c r="O16" s="46"/>
    </row>
    <row r="17" spans="2:15" x14ac:dyDescent="0.2">
      <c r="D17" s="46"/>
      <c r="E17" s="46"/>
      <c r="F17" s="46"/>
      <c r="G17" s="46"/>
      <c r="H17" s="46"/>
      <c r="I17" s="46"/>
      <c r="J17" s="46"/>
      <c r="K17" s="46"/>
      <c r="L17" s="46"/>
      <c r="O17" s="46"/>
    </row>
    <row r="18" spans="2:15" x14ac:dyDescent="0.2">
      <c r="D18" s="46"/>
      <c r="E18" s="46"/>
      <c r="F18" s="46"/>
      <c r="G18" s="46"/>
      <c r="H18" s="46"/>
      <c r="I18" s="46"/>
      <c r="J18" s="46"/>
      <c r="K18" s="46"/>
      <c r="L18" s="46"/>
      <c r="O18" s="46"/>
    </row>
    <row r="19" spans="2:15" x14ac:dyDescent="0.2">
      <c r="D19" s="46"/>
      <c r="E19" s="46"/>
      <c r="F19" s="46"/>
      <c r="G19" s="46"/>
      <c r="H19" s="46"/>
      <c r="I19" s="46"/>
      <c r="J19" s="46"/>
      <c r="K19" s="46"/>
      <c r="L19" s="46"/>
      <c r="O19" s="46"/>
    </row>
    <row r="20" spans="2:15" x14ac:dyDescent="0.2">
      <c r="D20" s="46"/>
      <c r="E20" s="46"/>
      <c r="F20" s="46"/>
      <c r="G20" s="46"/>
      <c r="H20" s="46"/>
      <c r="I20" s="46"/>
      <c r="J20" s="46"/>
      <c r="K20" s="46"/>
      <c r="L20" s="46"/>
      <c r="O20" s="46"/>
    </row>
    <row r="21" spans="2:15" x14ac:dyDescent="0.2">
      <c r="D21" s="46"/>
      <c r="E21" s="46"/>
      <c r="F21" s="46"/>
      <c r="G21" s="46"/>
      <c r="H21" s="46"/>
      <c r="I21" s="46"/>
      <c r="J21" s="46"/>
      <c r="K21" s="46"/>
      <c r="L21" s="46"/>
      <c r="O21" s="46"/>
    </row>
    <row r="22" spans="2:15" x14ac:dyDescent="0.2">
      <c r="D22" s="46"/>
      <c r="E22" s="46"/>
      <c r="F22" s="46"/>
      <c r="G22" s="46"/>
      <c r="H22" s="46"/>
      <c r="I22" s="46"/>
      <c r="J22" s="46"/>
      <c r="K22" s="46"/>
      <c r="L22" s="46"/>
      <c r="O22" s="46"/>
    </row>
    <row r="23" spans="2:15" x14ac:dyDescent="0.2">
      <c r="D23" s="46"/>
      <c r="E23" s="46"/>
      <c r="F23" s="46"/>
      <c r="G23" s="46"/>
      <c r="H23" s="46"/>
      <c r="I23" s="46"/>
      <c r="J23" s="46"/>
      <c r="K23" s="46"/>
      <c r="L23" s="46"/>
      <c r="O23" s="46"/>
    </row>
    <row r="24" spans="2:15" x14ac:dyDescent="0.2">
      <c r="D24" s="46"/>
      <c r="E24" s="46"/>
      <c r="F24" s="46"/>
      <c r="G24" s="46"/>
      <c r="H24" s="46"/>
      <c r="I24" s="46"/>
      <c r="J24" s="46"/>
      <c r="K24" s="46"/>
      <c r="L24" s="46"/>
      <c r="O24" s="46"/>
    </row>
    <row r="25" spans="2:15" x14ac:dyDescent="0.2">
      <c r="D25" s="46"/>
      <c r="E25" s="46"/>
      <c r="F25" s="46"/>
      <c r="G25" s="46"/>
      <c r="H25" s="46"/>
      <c r="I25" s="46"/>
      <c r="J25" s="46"/>
      <c r="K25" s="46"/>
      <c r="L25" s="46"/>
      <c r="O25" s="46"/>
    </row>
    <row r="26" spans="2:15" x14ac:dyDescent="0.2">
      <c r="B26" s="96">
        <v>11</v>
      </c>
      <c r="C26" s="96" t="s">
        <v>378</v>
      </c>
      <c r="D26" s="121">
        <v>360</v>
      </c>
      <c r="E26" s="121">
        <v>15.06</v>
      </c>
      <c r="F26" s="46">
        <f t="shared" si="1"/>
        <v>5421.6</v>
      </c>
      <c r="G26" s="121">
        <v>77.010000000000005</v>
      </c>
      <c r="H26" s="121">
        <v>182.03</v>
      </c>
      <c r="I26" s="121">
        <v>5191.04</v>
      </c>
      <c r="J26" s="121"/>
      <c r="K26" s="121">
        <v>1073.1500000000001</v>
      </c>
      <c r="L26" s="46">
        <f>I26/M26</f>
        <v>305.53502060035316</v>
      </c>
      <c r="M26" s="96">
        <v>16.989999999999998</v>
      </c>
      <c r="O26" s="121">
        <v>210.96</v>
      </c>
    </row>
    <row r="27" spans="2:15" x14ac:dyDescent="0.2">
      <c r="B27" s="96">
        <v>12</v>
      </c>
      <c r="C27" s="96" t="s">
        <v>379</v>
      </c>
      <c r="D27" s="121">
        <v>3998.05</v>
      </c>
      <c r="E27" s="121">
        <v>1.23</v>
      </c>
      <c r="F27" s="46">
        <f t="shared" si="1"/>
        <v>4917.6014999999998</v>
      </c>
      <c r="G27" s="121">
        <v>511.83</v>
      </c>
      <c r="H27" s="121">
        <v>516.9</v>
      </c>
      <c r="I27" s="121">
        <v>4694.08</v>
      </c>
      <c r="J27" s="121"/>
      <c r="K27" s="121">
        <v>2322.23</v>
      </c>
      <c r="L27" s="46">
        <f>I27/M27</f>
        <v>391.17333333333335</v>
      </c>
      <c r="M27" s="96">
        <v>12</v>
      </c>
      <c r="O27" s="121">
        <v>150.24</v>
      </c>
    </row>
    <row r="28" spans="2:15" x14ac:dyDescent="0.2">
      <c r="B28" s="96">
        <v>13</v>
      </c>
      <c r="C28" s="96" t="s">
        <v>380</v>
      </c>
      <c r="D28" s="121">
        <v>226</v>
      </c>
      <c r="E28" s="121">
        <v>16.760000000000002</v>
      </c>
      <c r="F28" s="46">
        <f t="shared" si="1"/>
        <v>3787.76</v>
      </c>
      <c r="G28" s="121">
        <v>415.84</v>
      </c>
      <c r="H28" s="121">
        <v>129.26</v>
      </c>
      <c r="I28" s="121">
        <v>3832.59</v>
      </c>
      <c r="J28" s="121"/>
      <c r="K28" s="121">
        <v>3795.13</v>
      </c>
      <c r="L28" s="46">
        <f>I28/M28</f>
        <v>426.79175946547883</v>
      </c>
      <c r="M28" s="96">
        <v>8.98</v>
      </c>
      <c r="O28" s="121">
        <v>284.87</v>
      </c>
    </row>
    <row r="29" spans="2:15" x14ac:dyDescent="0.2">
      <c r="B29" s="96">
        <v>14</v>
      </c>
      <c r="C29" s="96" t="s">
        <v>381</v>
      </c>
      <c r="D29" s="121">
        <v>1481</v>
      </c>
      <c r="E29" s="121">
        <v>2.2799999999999998</v>
      </c>
      <c r="F29" s="46">
        <f t="shared" si="1"/>
        <v>3376.68</v>
      </c>
      <c r="G29" s="121">
        <v>290.04000000000002</v>
      </c>
      <c r="H29" s="121">
        <v>22.9</v>
      </c>
      <c r="I29" s="121">
        <v>3645.13</v>
      </c>
      <c r="J29" s="121"/>
      <c r="K29" s="121">
        <v>4377.16</v>
      </c>
      <c r="L29" s="46">
        <f>I29/M29</f>
        <v>348.48279158699808</v>
      </c>
      <c r="M29" s="96">
        <v>10.46</v>
      </c>
      <c r="O29" s="121">
        <v>239.86</v>
      </c>
    </row>
    <row r="30" spans="2:15" x14ac:dyDescent="0.2">
      <c r="B30" s="96">
        <v>15</v>
      </c>
      <c r="C30" s="96" t="s">
        <v>382</v>
      </c>
      <c r="D30" s="121">
        <v>79.5</v>
      </c>
      <c r="E30" s="121">
        <v>29.53</v>
      </c>
      <c r="F30" s="46">
        <f t="shared" si="1"/>
        <v>2347.6350000000002</v>
      </c>
      <c r="G30" s="121">
        <v>1015.9</v>
      </c>
      <c r="H30" s="121">
        <v>1891.23</v>
      </c>
      <c r="I30" s="121">
        <v>747.97</v>
      </c>
      <c r="J30" s="121"/>
      <c r="K30" s="121">
        <v>887509.97</v>
      </c>
      <c r="L30" s="46">
        <f>I30/M30</f>
        <v>397.85638297872345</v>
      </c>
      <c r="M30" s="96">
        <v>1.88</v>
      </c>
      <c r="O30" s="121">
        <v>169.22</v>
      </c>
    </row>
  </sheetData>
  <sheetProtection sheet="1" objects="1" scenarios="1"/>
  <pageMargins left="0.7" right="0.7" top="0.75" bottom="0.75" header="0.3" footer="0.3"/>
  <pageSetup paperSize="9" orientation="portrait" horizontalDpi="0" verticalDpi="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5E77A-F187-0D4B-8C8F-AA63E7C2D775}">
  <dimension ref="B2:M1244"/>
  <sheetViews>
    <sheetView zoomScale="118" workbookViewId="0">
      <selection activeCell="N6" sqref="N6"/>
    </sheetView>
  </sheetViews>
  <sheetFormatPr baseColWidth="10" defaultRowHeight="15" x14ac:dyDescent="0.2"/>
  <cols>
    <col min="1" max="1" width="3" customWidth="1"/>
    <col min="2" max="3" width="20.6640625" customWidth="1"/>
  </cols>
  <sheetData>
    <row r="2" spans="2:13" x14ac:dyDescent="0.2">
      <c r="B2" s="110" t="s">
        <v>1278</v>
      </c>
      <c r="C2" s="110"/>
      <c r="L2" s="188" t="s">
        <v>252</v>
      </c>
      <c r="M2" s="188" t="s">
        <v>418</v>
      </c>
    </row>
    <row r="3" spans="2:13" x14ac:dyDescent="0.2">
      <c r="B3" t="s">
        <v>252</v>
      </c>
      <c r="C3" t="s">
        <v>417</v>
      </c>
      <c r="L3" s="190">
        <v>46261</v>
      </c>
      <c r="M3" s="191" t="s">
        <v>419</v>
      </c>
    </row>
    <row r="4" spans="2:13" x14ac:dyDescent="0.2">
      <c r="B4" s="189">
        <v>46261</v>
      </c>
      <c r="C4" s="77">
        <v>5139.3</v>
      </c>
      <c r="L4" s="190">
        <v>46260</v>
      </c>
      <c r="M4" s="191" t="s">
        <v>420</v>
      </c>
    </row>
    <row r="5" spans="2:13" x14ac:dyDescent="0.2">
      <c r="B5" s="189">
        <v>46260</v>
      </c>
      <c r="C5" s="77">
        <v>5100</v>
      </c>
      <c r="L5" s="190">
        <v>46259</v>
      </c>
      <c r="M5" s="191" t="s">
        <v>421</v>
      </c>
    </row>
    <row r="6" spans="2:13" x14ac:dyDescent="0.2">
      <c r="B6" s="189">
        <v>46259</v>
      </c>
      <c r="C6" s="77">
        <v>5124.8</v>
      </c>
      <c r="L6" s="190">
        <v>46258</v>
      </c>
      <c r="M6" s="191" t="s">
        <v>422</v>
      </c>
    </row>
    <row r="7" spans="2:13" x14ac:dyDescent="0.2">
      <c r="B7" s="189">
        <v>46258</v>
      </c>
      <c r="C7" s="77">
        <v>5079</v>
      </c>
      <c r="L7" s="190">
        <v>46255</v>
      </c>
      <c r="M7" s="191" t="s">
        <v>423</v>
      </c>
    </row>
    <row r="8" spans="2:13" x14ac:dyDescent="0.2">
      <c r="B8" s="189">
        <v>46255</v>
      </c>
      <c r="C8" s="77">
        <v>5086.1000000000004</v>
      </c>
      <c r="L8" s="190">
        <v>46254</v>
      </c>
      <c r="M8" s="191" t="s">
        <v>424</v>
      </c>
    </row>
    <row r="9" spans="2:13" x14ac:dyDescent="0.2">
      <c r="B9" s="189">
        <v>46254</v>
      </c>
      <c r="C9" s="77">
        <v>5068</v>
      </c>
      <c r="L9" s="190">
        <v>46253</v>
      </c>
      <c r="M9" s="191" t="s">
        <v>425</v>
      </c>
    </row>
    <row r="10" spans="2:13" x14ac:dyDescent="0.2">
      <c r="B10" s="189">
        <v>46253</v>
      </c>
      <c r="C10" s="77">
        <v>5068</v>
      </c>
      <c r="L10" s="190">
        <v>46252</v>
      </c>
      <c r="M10" s="191" t="s">
        <v>426</v>
      </c>
    </row>
    <row r="11" spans="2:13" x14ac:dyDescent="0.2">
      <c r="B11" s="189">
        <v>46252</v>
      </c>
      <c r="C11" s="77">
        <v>5048.6000000000004</v>
      </c>
      <c r="L11" s="190">
        <v>46251</v>
      </c>
      <c r="M11" s="191" t="s">
        <v>427</v>
      </c>
    </row>
    <row r="12" spans="2:13" x14ac:dyDescent="0.2">
      <c r="B12" s="189">
        <v>46251</v>
      </c>
      <c r="C12" s="77">
        <v>5068.5</v>
      </c>
      <c r="L12" s="190">
        <v>46248</v>
      </c>
      <c r="M12" s="191" t="s">
        <v>428</v>
      </c>
    </row>
    <row r="13" spans="2:13" x14ac:dyDescent="0.2">
      <c r="B13" s="189">
        <v>46248</v>
      </c>
      <c r="C13" s="77">
        <v>5056.2</v>
      </c>
      <c r="L13" s="190">
        <v>46247</v>
      </c>
      <c r="M13" s="191" t="s">
        <v>429</v>
      </c>
    </row>
    <row r="14" spans="2:13" x14ac:dyDescent="0.2">
      <c r="B14" s="189">
        <v>46247</v>
      </c>
      <c r="C14" s="77">
        <v>5063.7</v>
      </c>
      <c r="L14" s="190">
        <v>46246</v>
      </c>
      <c r="M14" s="191" t="s">
        <v>430</v>
      </c>
    </row>
    <row r="15" spans="2:13" x14ac:dyDescent="0.2">
      <c r="B15" s="189">
        <v>46246</v>
      </c>
      <c r="C15" s="77">
        <v>5099</v>
      </c>
      <c r="L15" s="190">
        <v>46245</v>
      </c>
      <c r="M15" s="191" t="s">
        <v>431</v>
      </c>
    </row>
    <row r="16" spans="2:13" x14ac:dyDescent="0.2">
      <c r="B16" s="189">
        <v>46245</v>
      </c>
      <c r="C16" s="77">
        <v>5128</v>
      </c>
      <c r="L16" s="190">
        <v>46244</v>
      </c>
      <c r="M16" s="191" t="s">
        <v>432</v>
      </c>
    </row>
    <row r="17" spans="2:13" x14ac:dyDescent="0.2">
      <c r="B17" s="189">
        <v>46244</v>
      </c>
      <c r="C17" s="77">
        <v>5090</v>
      </c>
      <c r="L17" s="190">
        <v>46241</v>
      </c>
      <c r="M17" s="191" t="s">
        <v>433</v>
      </c>
    </row>
    <row r="18" spans="2:13" x14ac:dyDescent="0.2">
      <c r="B18" s="189">
        <v>46241</v>
      </c>
      <c r="C18" s="77">
        <v>4941</v>
      </c>
      <c r="L18" s="190">
        <v>46240</v>
      </c>
      <c r="M18" s="191" t="s">
        <v>434</v>
      </c>
    </row>
    <row r="19" spans="2:13" x14ac:dyDescent="0.2">
      <c r="B19" s="189">
        <v>46240</v>
      </c>
      <c r="C19" s="77">
        <v>4998</v>
      </c>
      <c r="L19" s="190">
        <v>46239</v>
      </c>
      <c r="M19" s="191" t="s">
        <v>435</v>
      </c>
    </row>
    <row r="20" spans="2:13" x14ac:dyDescent="0.2">
      <c r="B20" s="189">
        <v>46239</v>
      </c>
      <c r="C20" s="77">
        <v>4912.3999999999996</v>
      </c>
      <c r="L20" s="190">
        <v>46238</v>
      </c>
      <c r="M20" s="191" t="s">
        <v>436</v>
      </c>
    </row>
    <row r="21" spans="2:13" x14ac:dyDescent="0.2">
      <c r="B21" s="189">
        <v>46238</v>
      </c>
      <c r="C21" s="77">
        <v>4935</v>
      </c>
      <c r="L21" s="190">
        <v>46237</v>
      </c>
      <c r="M21" s="191" t="s">
        <v>437</v>
      </c>
    </row>
    <row r="22" spans="2:13" x14ac:dyDescent="0.2">
      <c r="B22" s="189">
        <v>46237</v>
      </c>
      <c r="C22" s="77">
        <v>5000</v>
      </c>
      <c r="L22" s="190">
        <v>46234</v>
      </c>
      <c r="M22" s="191" t="s">
        <v>438</v>
      </c>
    </row>
    <row r="23" spans="2:13" x14ac:dyDescent="0.2">
      <c r="B23" s="189">
        <v>46234</v>
      </c>
      <c r="C23" s="77">
        <v>4875.2</v>
      </c>
      <c r="L23" s="190">
        <v>46233</v>
      </c>
      <c r="M23" s="191" t="s">
        <v>439</v>
      </c>
    </row>
    <row r="24" spans="2:13" x14ac:dyDescent="0.2">
      <c r="B24" s="189">
        <v>46233</v>
      </c>
      <c r="C24" s="77">
        <v>4850</v>
      </c>
      <c r="L24" s="190">
        <v>46232</v>
      </c>
      <c r="M24" s="191" t="s">
        <v>440</v>
      </c>
    </row>
    <row r="25" spans="2:13" x14ac:dyDescent="0.2">
      <c r="B25" s="189">
        <v>46232</v>
      </c>
      <c r="C25" s="77">
        <v>4850.2</v>
      </c>
      <c r="L25" s="190">
        <v>46231</v>
      </c>
      <c r="M25" s="191" t="s">
        <v>441</v>
      </c>
    </row>
    <row r="26" spans="2:13" x14ac:dyDescent="0.2">
      <c r="B26" s="189">
        <v>46231</v>
      </c>
      <c r="C26" s="77">
        <v>4849.7</v>
      </c>
      <c r="L26" s="190">
        <v>46230</v>
      </c>
      <c r="M26" s="191" t="s">
        <v>442</v>
      </c>
    </row>
    <row r="27" spans="2:13" x14ac:dyDescent="0.2">
      <c r="B27" s="189">
        <v>46230</v>
      </c>
      <c r="C27" s="77">
        <v>4740.1000000000004</v>
      </c>
      <c r="L27" s="190">
        <v>46227</v>
      </c>
      <c r="M27" s="191" t="s">
        <v>443</v>
      </c>
    </row>
    <row r="28" spans="2:13" x14ac:dyDescent="0.2">
      <c r="B28" s="189">
        <v>46227</v>
      </c>
      <c r="C28" s="77">
        <v>4677</v>
      </c>
      <c r="L28" s="190">
        <v>46226</v>
      </c>
      <c r="M28" s="191" t="s">
        <v>444</v>
      </c>
    </row>
    <row r="29" spans="2:13" x14ac:dyDescent="0.2">
      <c r="B29" s="189">
        <v>46226</v>
      </c>
      <c r="C29" s="77">
        <v>4697.3</v>
      </c>
      <c r="L29" s="190">
        <v>46225</v>
      </c>
      <c r="M29" s="191" t="s">
        <v>445</v>
      </c>
    </row>
    <row r="30" spans="2:13" x14ac:dyDescent="0.2">
      <c r="B30" s="189">
        <v>46225</v>
      </c>
      <c r="C30" s="77">
        <v>4711.6000000000004</v>
      </c>
      <c r="L30" s="190">
        <v>46224</v>
      </c>
      <c r="M30" s="191" t="s">
        <v>446</v>
      </c>
    </row>
    <row r="31" spans="2:13" x14ac:dyDescent="0.2">
      <c r="B31" s="189">
        <v>46224</v>
      </c>
      <c r="C31" s="77">
        <v>4688.7</v>
      </c>
      <c r="L31" s="190">
        <v>46223</v>
      </c>
      <c r="M31" s="191" t="s">
        <v>447</v>
      </c>
    </row>
    <row r="32" spans="2:13" x14ac:dyDescent="0.2">
      <c r="B32" s="189">
        <v>46223</v>
      </c>
      <c r="C32" s="77">
        <v>4643.3999999999996</v>
      </c>
      <c r="L32" s="190">
        <v>46220</v>
      </c>
      <c r="M32" s="191" t="s">
        <v>448</v>
      </c>
    </row>
    <row r="33" spans="2:13" x14ac:dyDescent="0.2">
      <c r="B33" s="189">
        <v>46220</v>
      </c>
      <c r="C33" s="77">
        <v>4638.1000000000004</v>
      </c>
      <c r="L33" s="190">
        <v>46219</v>
      </c>
      <c r="M33" s="191" t="s">
        <v>449</v>
      </c>
    </row>
    <row r="34" spans="2:13" x14ac:dyDescent="0.2">
      <c r="B34" s="189">
        <v>46219</v>
      </c>
      <c r="C34" s="77">
        <v>4625.8</v>
      </c>
      <c r="L34" s="190">
        <v>46218</v>
      </c>
      <c r="M34" s="191" t="s">
        <v>450</v>
      </c>
    </row>
    <row r="35" spans="2:13" x14ac:dyDescent="0.2">
      <c r="B35" s="189">
        <v>46218</v>
      </c>
      <c r="C35" s="77">
        <v>4579.3999999999996</v>
      </c>
      <c r="L35" s="190">
        <v>46217</v>
      </c>
      <c r="M35" s="191" t="s">
        <v>451</v>
      </c>
    </row>
    <row r="36" spans="2:13" x14ac:dyDescent="0.2">
      <c r="B36" s="189">
        <v>46217</v>
      </c>
      <c r="C36" s="77">
        <v>4573.7</v>
      </c>
      <c r="L36" s="190">
        <v>46216</v>
      </c>
      <c r="M36" s="191" t="s">
        <v>452</v>
      </c>
    </row>
    <row r="37" spans="2:13" x14ac:dyDescent="0.2">
      <c r="B37" s="189">
        <v>46216</v>
      </c>
      <c r="C37" s="77">
        <v>4601.5</v>
      </c>
      <c r="L37" s="190">
        <v>46213</v>
      </c>
      <c r="M37" s="191" t="s">
        <v>453</v>
      </c>
    </row>
    <row r="38" spans="2:13" x14ac:dyDescent="0.2">
      <c r="B38" s="189">
        <v>46213</v>
      </c>
      <c r="C38" s="77">
        <v>4584.3999999999996</v>
      </c>
      <c r="L38" s="190">
        <v>46212</v>
      </c>
      <c r="M38" s="191" t="s">
        <v>454</v>
      </c>
    </row>
    <row r="39" spans="2:13" x14ac:dyDescent="0.2">
      <c r="B39" s="189">
        <v>46212</v>
      </c>
      <c r="C39" s="77">
        <v>4555.8</v>
      </c>
      <c r="L39" s="190">
        <v>46211</v>
      </c>
      <c r="M39" s="191" t="s">
        <v>455</v>
      </c>
    </row>
    <row r="40" spans="2:13" x14ac:dyDescent="0.2">
      <c r="B40" s="189">
        <v>46211</v>
      </c>
      <c r="C40" s="77">
        <v>4586.3999999999996</v>
      </c>
      <c r="L40" s="190">
        <v>46210</v>
      </c>
      <c r="M40" s="191" t="s">
        <v>456</v>
      </c>
    </row>
    <row r="41" spans="2:13" x14ac:dyDescent="0.2">
      <c r="B41" s="189">
        <v>46210</v>
      </c>
      <c r="C41" s="77">
        <v>4604.2</v>
      </c>
      <c r="L41" s="190">
        <v>46209</v>
      </c>
      <c r="M41" s="191" t="s">
        <v>457</v>
      </c>
    </row>
    <row r="42" spans="2:13" x14ac:dyDescent="0.2">
      <c r="B42" s="189">
        <v>46209</v>
      </c>
      <c r="C42" s="77">
        <v>4484.3999999999996</v>
      </c>
      <c r="L42" s="190">
        <v>46206</v>
      </c>
      <c r="M42" s="191" t="s">
        <v>458</v>
      </c>
    </row>
    <row r="43" spans="2:13" x14ac:dyDescent="0.2">
      <c r="B43" s="189">
        <v>46206</v>
      </c>
      <c r="C43" s="77">
        <v>4461.1000000000004</v>
      </c>
      <c r="L43" s="190">
        <v>46205</v>
      </c>
      <c r="M43" s="191" t="s">
        <v>459</v>
      </c>
    </row>
    <row r="44" spans="2:13" x14ac:dyDescent="0.2">
      <c r="B44" s="189">
        <v>46205</v>
      </c>
      <c r="C44" s="77">
        <v>4481.1000000000004</v>
      </c>
      <c r="L44" s="190">
        <v>46204</v>
      </c>
      <c r="M44" s="191" t="s">
        <v>433</v>
      </c>
    </row>
    <row r="45" spans="2:13" x14ac:dyDescent="0.2">
      <c r="B45" s="189">
        <v>46204</v>
      </c>
      <c r="C45" s="77">
        <v>4398.6000000000004</v>
      </c>
      <c r="L45" s="190">
        <v>46203</v>
      </c>
      <c r="M45" s="191" t="s">
        <v>460</v>
      </c>
    </row>
    <row r="46" spans="2:13" x14ac:dyDescent="0.2">
      <c r="B46" s="189">
        <v>46203</v>
      </c>
      <c r="C46" s="77">
        <v>4404</v>
      </c>
      <c r="L46" s="190">
        <v>46202</v>
      </c>
      <c r="M46" s="191" t="s">
        <v>461</v>
      </c>
    </row>
    <row r="47" spans="2:13" x14ac:dyDescent="0.2">
      <c r="B47" s="189">
        <v>46202</v>
      </c>
      <c r="C47" s="77">
        <v>4277.2</v>
      </c>
      <c r="L47" s="190">
        <v>46198</v>
      </c>
      <c r="M47" s="191" t="s">
        <v>462</v>
      </c>
    </row>
    <row r="48" spans="2:13" x14ac:dyDescent="0.2">
      <c r="B48" s="189">
        <v>46198</v>
      </c>
      <c r="C48" s="77">
        <v>4291.3</v>
      </c>
      <c r="L48" s="190">
        <v>46197</v>
      </c>
      <c r="M48" s="191" t="s">
        <v>463</v>
      </c>
    </row>
    <row r="49" spans="2:13" x14ac:dyDescent="0.2">
      <c r="B49" s="189">
        <v>46197</v>
      </c>
      <c r="C49" s="77">
        <v>4323.8</v>
      </c>
      <c r="L49" s="190">
        <v>46196</v>
      </c>
      <c r="M49" s="191" t="s">
        <v>464</v>
      </c>
    </row>
    <row r="50" spans="2:13" x14ac:dyDescent="0.2">
      <c r="B50" s="189">
        <v>46196</v>
      </c>
      <c r="C50" s="77">
        <v>4305.3</v>
      </c>
      <c r="L50" s="190">
        <v>46195</v>
      </c>
      <c r="M50" s="191" t="s">
        <v>465</v>
      </c>
    </row>
    <row r="51" spans="2:13" x14ac:dyDescent="0.2">
      <c r="B51" s="189">
        <v>46195</v>
      </c>
      <c r="C51" s="77">
        <v>4372.5</v>
      </c>
      <c r="L51" s="190">
        <v>46192</v>
      </c>
      <c r="M51" s="191" t="s">
        <v>466</v>
      </c>
    </row>
    <row r="52" spans="2:13" x14ac:dyDescent="0.2">
      <c r="B52" s="189">
        <v>46192</v>
      </c>
      <c r="C52" s="77">
        <v>4419.8999999999996</v>
      </c>
      <c r="L52" s="190">
        <v>46191</v>
      </c>
      <c r="M52" s="191" t="s">
        <v>467</v>
      </c>
    </row>
    <row r="53" spans="2:13" x14ac:dyDescent="0.2">
      <c r="B53" s="189">
        <v>46191</v>
      </c>
      <c r="C53" s="77">
        <v>4387.8999999999996</v>
      </c>
      <c r="L53" s="190">
        <v>46190</v>
      </c>
      <c r="M53" s="191" t="s">
        <v>468</v>
      </c>
    </row>
    <row r="54" spans="2:13" x14ac:dyDescent="0.2">
      <c r="B54" s="189">
        <v>46190</v>
      </c>
      <c r="C54" s="77">
        <v>4380.5</v>
      </c>
      <c r="L54" s="190">
        <v>46189</v>
      </c>
      <c r="M54" s="191" t="s">
        <v>469</v>
      </c>
    </row>
    <row r="55" spans="2:13" x14ac:dyDescent="0.2">
      <c r="B55" s="189">
        <v>46189</v>
      </c>
      <c r="C55" s="77">
        <v>4338</v>
      </c>
      <c r="L55" s="190">
        <v>46188</v>
      </c>
      <c r="M55" s="191" t="s">
        <v>470</v>
      </c>
    </row>
    <row r="56" spans="2:13" x14ac:dyDescent="0.2">
      <c r="B56" s="189">
        <v>46188</v>
      </c>
      <c r="C56" s="77">
        <v>4283.5</v>
      </c>
      <c r="L56" s="190">
        <v>46185</v>
      </c>
      <c r="M56" s="191" t="s">
        <v>471</v>
      </c>
    </row>
    <row r="57" spans="2:13" x14ac:dyDescent="0.2">
      <c r="B57" s="189">
        <v>46185</v>
      </c>
      <c r="C57" s="77">
        <v>4184</v>
      </c>
      <c r="L57" s="190">
        <v>46184</v>
      </c>
      <c r="M57" s="191" t="s">
        <v>472</v>
      </c>
    </row>
    <row r="58" spans="2:13" x14ac:dyDescent="0.2">
      <c r="B58" s="189">
        <v>46184</v>
      </c>
      <c r="C58" s="77">
        <v>4025.2</v>
      </c>
      <c r="L58" s="190">
        <v>46183</v>
      </c>
      <c r="M58" s="191" t="s">
        <v>473</v>
      </c>
    </row>
    <row r="59" spans="2:13" x14ac:dyDescent="0.2">
      <c r="B59" s="189">
        <v>46183</v>
      </c>
      <c r="C59" s="77">
        <v>4042.1</v>
      </c>
      <c r="L59" s="190">
        <v>46182</v>
      </c>
      <c r="M59" s="191" t="s">
        <v>434</v>
      </c>
    </row>
    <row r="60" spans="2:13" x14ac:dyDescent="0.2">
      <c r="B60" s="189">
        <v>46182</v>
      </c>
      <c r="C60" s="77">
        <v>4104.8999999999996</v>
      </c>
      <c r="L60" s="190">
        <v>46181</v>
      </c>
      <c r="M60" s="191" t="s">
        <v>474</v>
      </c>
    </row>
    <row r="61" spans="2:13" x14ac:dyDescent="0.2">
      <c r="B61" s="189">
        <v>46181</v>
      </c>
      <c r="C61" s="77">
        <v>4192.3999999999996</v>
      </c>
      <c r="L61" s="190">
        <v>46178</v>
      </c>
      <c r="M61" s="191" t="s">
        <v>475</v>
      </c>
    </row>
    <row r="62" spans="2:13" x14ac:dyDescent="0.2">
      <c r="B62" s="189">
        <v>46178</v>
      </c>
      <c r="C62" s="77">
        <v>4260.2</v>
      </c>
      <c r="L62" s="190">
        <v>46177</v>
      </c>
      <c r="M62" s="191" t="s">
        <v>476</v>
      </c>
    </row>
    <row r="63" spans="2:13" x14ac:dyDescent="0.2">
      <c r="B63" s="189">
        <v>46177</v>
      </c>
      <c r="C63" s="77">
        <v>4231</v>
      </c>
      <c r="L63" s="190">
        <v>46176</v>
      </c>
      <c r="M63" s="191" t="s">
        <v>477</v>
      </c>
    </row>
    <row r="64" spans="2:13" x14ac:dyDescent="0.2">
      <c r="B64" s="189">
        <v>46176</v>
      </c>
      <c r="C64" s="77">
        <v>4088.8</v>
      </c>
      <c r="L64" s="190">
        <v>46175</v>
      </c>
      <c r="M64" s="191" t="s">
        <v>478</v>
      </c>
    </row>
    <row r="65" spans="2:13" x14ac:dyDescent="0.2">
      <c r="B65" s="189">
        <v>46175</v>
      </c>
      <c r="C65" s="77">
        <v>4078.1</v>
      </c>
      <c r="L65" s="190">
        <v>46174</v>
      </c>
      <c r="M65" s="191" t="s">
        <v>479</v>
      </c>
    </row>
    <row r="66" spans="2:13" x14ac:dyDescent="0.2">
      <c r="B66" s="189">
        <v>46174</v>
      </c>
      <c r="C66" s="77">
        <v>4024.6</v>
      </c>
      <c r="L66" s="190">
        <v>46171</v>
      </c>
      <c r="M66" s="191" t="s">
        <v>480</v>
      </c>
    </row>
    <row r="67" spans="2:13" x14ac:dyDescent="0.2">
      <c r="B67" s="189">
        <v>46171</v>
      </c>
      <c r="C67" s="77">
        <v>4074.9</v>
      </c>
      <c r="L67" s="190">
        <v>46169</v>
      </c>
      <c r="M67" s="191" t="s">
        <v>481</v>
      </c>
    </row>
    <row r="68" spans="2:13" x14ac:dyDescent="0.2">
      <c r="B68" s="189">
        <v>46169</v>
      </c>
      <c r="C68" s="77">
        <v>4137.8999999999996</v>
      </c>
      <c r="L68" s="190">
        <v>46168</v>
      </c>
      <c r="M68" s="191" t="s">
        <v>482</v>
      </c>
    </row>
    <row r="69" spans="2:13" x14ac:dyDescent="0.2">
      <c r="B69" s="189">
        <v>46168</v>
      </c>
      <c r="C69" s="77">
        <v>4105.8999999999996</v>
      </c>
      <c r="L69" s="190">
        <v>46167</v>
      </c>
      <c r="M69" s="191" t="s">
        <v>483</v>
      </c>
    </row>
    <row r="70" spans="2:13" x14ac:dyDescent="0.2">
      <c r="B70" s="189">
        <v>46167</v>
      </c>
      <c r="C70" s="77">
        <v>4159.2</v>
      </c>
      <c r="L70" s="190">
        <v>46164</v>
      </c>
      <c r="M70" s="191" t="s">
        <v>484</v>
      </c>
    </row>
    <row r="71" spans="2:13" x14ac:dyDescent="0.2">
      <c r="B71" s="189">
        <v>46164</v>
      </c>
      <c r="C71" s="77">
        <v>4079.8</v>
      </c>
      <c r="L71" s="190">
        <v>46163</v>
      </c>
      <c r="M71" s="191" t="s">
        <v>485</v>
      </c>
    </row>
    <row r="72" spans="2:13" x14ac:dyDescent="0.2">
      <c r="B72" s="189">
        <v>46163</v>
      </c>
      <c r="C72" s="77">
        <v>4083.1</v>
      </c>
      <c r="L72" s="190">
        <v>46162</v>
      </c>
      <c r="M72" s="191" t="s">
        <v>486</v>
      </c>
    </row>
    <row r="73" spans="2:13" x14ac:dyDescent="0.2">
      <c r="B73" s="189">
        <v>46162</v>
      </c>
      <c r="C73" s="77">
        <v>4106.3999999999996</v>
      </c>
      <c r="L73" s="190">
        <v>46161</v>
      </c>
      <c r="M73" s="191" t="s">
        <v>487</v>
      </c>
    </row>
    <row r="74" spans="2:13" x14ac:dyDescent="0.2">
      <c r="B74" s="189">
        <v>46161</v>
      </c>
      <c r="C74" s="77">
        <v>4102</v>
      </c>
      <c r="L74" s="190">
        <v>46160</v>
      </c>
      <c r="M74" s="191" t="s">
        <v>488</v>
      </c>
    </row>
    <row r="75" spans="2:13" x14ac:dyDescent="0.2">
      <c r="B75" s="189">
        <v>46160</v>
      </c>
      <c r="C75" s="77">
        <v>4169.7</v>
      </c>
      <c r="L75" s="190">
        <v>46157</v>
      </c>
      <c r="M75" s="191" t="s">
        <v>489</v>
      </c>
    </row>
    <row r="76" spans="2:13" x14ac:dyDescent="0.2">
      <c r="B76" s="189">
        <v>46157</v>
      </c>
      <c r="C76" s="77">
        <v>4169.1000000000004</v>
      </c>
      <c r="L76" s="190">
        <v>46156</v>
      </c>
      <c r="M76" s="191" t="s">
        <v>490</v>
      </c>
    </row>
    <row r="77" spans="2:13" x14ac:dyDescent="0.2">
      <c r="B77" s="189">
        <v>46156</v>
      </c>
      <c r="C77" s="77">
        <v>4135.2</v>
      </c>
      <c r="L77" s="190">
        <v>46155</v>
      </c>
      <c r="M77" s="191" t="s">
        <v>491</v>
      </c>
    </row>
    <row r="78" spans="2:13" x14ac:dyDescent="0.2">
      <c r="B78" s="189">
        <v>46155</v>
      </c>
      <c r="C78" s="77">
        <v>4090.7</v>
      </c>
      <c r="L78" s="190">
        <v>46154</v>
      </c>
      <c r="M78" s="191" t="s">
        <v>492</v>
      </c>
    </row>
    <row r="79" spans="2:13" x14ac:dyDescent="0.2">
      <c r="B79" s="189">
        <v>46154</v>
      </c>
      <c r="C79" s="77">
        <v>4055.3</v>
      </c>
      <c r="L79" s="190">
        <v>46153</v>
      </c>
      <c r="M79" s="191" t="s">
        <v>493</v>
      </c>
    </row>
    <row r="80" spans="2:13" x14ac:dyDescent="0.2">
      <c r="B80" s="189">
        <v>46153</v>
      </c>
      <c r="C80" s="77">
        <v>4205.6000000000004</v>
      </c>
      <c r="L80" s="190">
        <v>46150</v>
      </c>
      <c r="M80" s="191" t="s">
        <v>494</v>
      </c>
    </row>
    <row r="81" spans="2:13" x14ac:dyDescent="0.2">
      <c r="B81" s="189">
        <v>46150</v>
      </c>
      <c r="C81" s="77">
        <v>4509</v>
      </c>
      <c r="L81" s="190">
        <v>46149</v>
      </c>
      <c r="M81" s="191" t="s">
        <v>495</v>
      </c>
    </row>
    <row r="82" spans="2:13" x14ac:dyDescent="0.2">
      <c r="B82" s="189">
        <v>46149</v>
      </c>
      <c r="C82" s="77">
        <v>4307.5</v>
      </c>
      <c r="L82" s="190">
        <v>46148</v>
      </c>
      <c r="M82" s="191" t="s">
        <v>496</v>
      </c>
    </row>
    <row r="83" spans="2:13" x14ac:dyDescent="0.2">
      <c r="B83" s="189">
        <v>46148</v>
      </c>
      <c r="C83" s="77">
        <v>4359.6000000000004</v>
      </c>
      <c r="L83" s="190">
        <v>46147</v>
      </c>
      <c r="M83" s="191" t="s">
        <v>497</v>
      </c>
    </row>
    <row r="84" spans="2:13" x14ac:dyDescent="0.2">
      <c r="B84" s="189">
        <v>46147</v>
      </c>
      <c r="C84" s="77">
        <v>4373.6000000000004</v>
      </c>
      <c r="L84" s="190">
        <v>46146</v>
      </c>
      <c r="M84" s="191" t="s">
        <v>498</v>
      </c>
    </row>
    <row r="85" spans="2:13" x14ac:dyDescent="0.2">
      <c r="B85" s="189">
        <v>46146</v>
      </c>
      <c r="C85" s="77">
        <v>4363</v>
      </c>
      <c r="L85" s="190">
        <v>46142</v>
      </c>
      <c r="M85" s="191" t="s">
        <v>499</v>
      </c>
    </row>
    <row r="86" spans="2:13" x14ac:dyDescent="0.2">
      <c r="B86" s="189">
        <v>46142</v>
      </c>
      <c r="C86" s="77">
        <v>4385.2</v>
      </c>
      <c r="L86" s="190">
        <v>46141</v>
      </c>
      <c r="M86" s="191" t="s">
        <v>500</v>
      </c>
    </row>
    <row r="87" spans="2:13" x14ac:dyDescent="0.2">
      <c r="B87" s="189">
        <v>46141</v>
      </c>
      <c r="C87" s="77">
        <v>4439.8</v>
      </c>
      <c r="L87" s="190">
        <v>46140</v>
      </c>
      <c r="M87" s="191" t="s">
        <v>501</v>
      </c>
    </row>
    <row r="88" spans="2:13" x14ac:dyDescent="0.2">
      <c r="B88" s="189">
        <v>46140</v>
      </c>
      <c r="C88" s="77">
        <v>4417</v>
      </c>
      <c r="L88" s="190">
        <v>46139</v>
      </c>
      <c r="M88" s="191" t="s">
        <v>502</v>
      </c>
    </row>
    <row r="89" spans="2:13" x14ac:dyDescent="0.2">
      <c r="B89" s="189">
        <v>46139</v>
      </c>
      <c r="C89" s="77">
        <v>4441.8</v>
      </c>
      <c r="L89" s="190">
        <v>46136</v>
      </c>
      <c r="M89" s="191" t="s">
        <v>503</v>
      </c>
    </row>
    <row r="90" spans="2:13" x14ac:dyDescent="0.2">
      <c r="B90" s="189">
        <v>46136</v>
      </c>
      <c r="C90" s="77">
        <v>4410</v>
      </c>
      <c r="L90" s="190">
        <v>46135</v>
      </c>
      <c r="M90" s="191" t="s">
        <v>504</v>
      </c>
    </row>
    <row r="91" spans="2:13" x14ac:dyDescent="0.2">
      <c r="B91" s="189">
        <v>46135</v>
      </c>
      <c r="C91" s="77">
        <v>4456.5</v>
      </c>
      <c r="L91" s="190">
        <v>46134</v>
      </c>
      <c r="M91" s="191" t="s">
        <v>505</v>
      </c>
    </row>
    <row r="92" spans="2:13" x14ac:dyDescent="0.2">
      <c r="B92" s="189">
        <v>46134</v>
      </c>
      <c r="C92" s="77">
        <v>4454.6000000000004</v>
      </c>
      <c r="L92" s="190">
        <v>46133</v>
      </c>
      <c r="M92" s="191" t="s">
        <v>506</v>
      </c>
    </row>
    <row r="93" spans="2:13" x14ac:dyDescent="0.2">
      <c r="B93" s="189">
        <v>46133</v>
      </c>
      <c r="C93" s="77">
        <v>4479.7</v>
      </c>
      <c r="L93" s="190">
        <v>46132</v>
      </c>
      <c r="M93" s="191" t="s">
        <v>507</v>
      </c>
    </row>
    <row r="94" spans="2:13" x14ac:dyDescent="0.2">
      <c r="B94" s="189">
        <v>46132</v>
      </c>
      <c r="C94" s="77">
        <v>4513</v>
      </c>
      <c r="L94" s="190">
        <v>46129</v>
      </c>
      <c r="M94" s="191" t="s">
        <v>508</v>
      </c>
    </row>
    <row r="95" spans="2:13" x14ac:dyDescent="0.2">
      <c r="B95" s="189">
        <v>46129</v>
      </c>
      <c r="C95" s="77">
        <v>4525.8999999999996</v>
      </c>
      <c r="L95" s="190">
        <v>46128</v>
      </c>
      <c r="M95" s="191" t="s">
        <v>434</v>
      </c>
    </row>
    <row r="96" spans="2:13" x14ac:dyDescent="0.2">
      <c r="B96" s="189">
        <v>46128</v>
      </c>
      <c r="C96" s="77">
        <v>4461.3999999999996</v>
      </c>
      <c r="L96" s="190">
        <v>46127</v>
      </c>
      <c r="M96" s="191" t="s">
        <v>509</v>
      </c>
    </row>
    <row r="97" spans="2:13" x14ac:dyDescent="0.2">
      <c r="B97" s="189">
        <v>46127</v>
      </c>
      <c r="C97" s="77">
        <v>4522.2</v>
      </c>
      <c r="L97" s="190">
        <v>46125</v>
      </c>
      <c r="M97" s="191" t="s">
        <v>510</v>
      </c>
    </row>
    <row r="98" spans="2:13" x14ac:dyDescent="0.2">
      <c r="B98" s="189">
        <v>46125</v>
      </c>
      <c r="C98" s="77">
        <v>4439.3</v>
      </c>
      <c r="L98" s="190">
        <v>46122</v>
      </c>
      <c r="M98" s="191" t="s">
        <v>511</v>
      </c>
    </row>
    <row r="99" spans="2:13" x14ac:dyDescent="0.2">
      <c r="B99" s="189">
        <v>46122</v>
      </c>
      <c r="C99" s="77">
        <v>4505</v>
      </c>
      <c r="L99" s="190">
        <v>46121</v>
      </c>
      <c r="M99" s="191" t="s">
        <v>475</v>
      </c>
    </row>
    <row r="100" spans="2:13" x14ac:dyDescent="0.2">
      <c r="B100" s="189">
        <v>46121</v>
      </c>
      <c r="C100" s="77">
        <v>4439.8</v>
      </c>
      <c r="L100" s="190">
        <v>46120</v>
      </c>
      <c r="M100" s="191" t="s">
        <v>512</v>
      </c>
    </row>
    <row r="101" spans="2:13" x14ac:dyDescent="0.2">
      <c r="B101" s="189">
        <v>46120</v>
      </c>
      <c r="C101" s="77">
        <v>4492.5</v>
      </c>
      <c r="L101" s="190">
        <v>46119</v>
      </c>
      <c r="M101" s="191" t="s">
        <v>513</v>
      </c>
    </row>
    <row r="102" spans="2:13" x14ac:dyDescent="0.2">
      <c r="B102" s="189">
        <v>46119</v>
      </c>
      <c r="C102" s="77">
        <v>4230.6000000000004</v>
      </c>
      <c r="L102" s="190">
        <v>46118</v>
      </c>
      <c r="M102" s="191" t="s">
        <v>514</v>
      </c>
    </row>
    <row r="103" spans="2:13" x14ac:dyDescent="0.2">
      <c r="B103" s="189">
        <v>46118</v>
      </c>
      <c r="C103" s="77">
        <v>4246.1000000000004</v>
      </c>
      <c r="L103" s="190">
        <v>46114</v>
      </c>
      <c r="M103" s="191" t="s">
        <v>515</v>
      </c>
    </row>
    <row r="104" spans="2:13" x14ac:dyDescent="0.2">
      <c r="B104" s="189">
        <v>46114</v>
      </c>
      <c r="C104" s="77">
        <v>4097.2</v>
      </c>
      <c r="L104" s="190">
        <v>46113</v>
      </c>
      <c r="M104" s="191" t="s">
        <v>516</v>
      </c>
    </row>
    <row r="105" spans="2:13" x14ac:dyDescent="0.2">
      <c r="B105" s="189">
        <v>46113</v>
      </c>
      <c r="C105" s="77">
        <v>4065.5</v>
      </c>
      <c r="L105" s="190">
        <v>46111</v>
      </c>
      <c r="M105" s="191" t="s">
        <v>517</v>
      </c>
    </row>
    <row r="106" spans="2:13" x14ac:dyDescent="0.2">
      <c r="B106" s="189">
        <v>46111</v>
      </c>
      <c r="C106" s="77">
        <v>3951.4</v>
      </c>
      <c r="L106" s="190">
        <v>46108</v>
      </c>
      <c r="M106" s="191" t="s">
        <v>518</v>
      </c>
    </row>
    <row r="107" spans="2:13" x14ac:dyDescent="0.2">
      <c r="B107" s="189">
        <v>46108</v>
      </c>
      <c r="C107" s="77">
        <v>3981.5</v>
      </c>
      <c r="L107" s="190">
        <v>46106</v>
      </c>
      <c r="M107" s="191" t="s">
        <v>519</v>
      </c>
    </row>
    <row r="108" spans="2:13" x14ac:dyDescent="0.2">
      <c r="B108" s="189">
        <v>46106</v>
      </c>
      <c r="C108" s="77">
        <v>4039.3</v>
      </c>
      <c r="L108" s="190">
        <v>46105</v>
      </c>
      <c r="M108" s="191" t="s">
        <v>520</v>
      </c>
    </row>
    <row r="109" spans="2:13" x14ac:dyDescent="0.2">
      <c r="B109" s="189">
        <v>46105</v>
      </c>
      <c r="C109" s="77">
        <v>3899.5</v>
      </c>
      <c r="L109" s="190">
        <v>46104</v>
      </c>
      <c r="M109" s="191" t="s">
        <v>521</v>
      </c>
    </row>
    <row r="110" spans="2:13" x14ac:dyDescent="0.2">
      <c r="B110" s="189">
        <v>46104</v>
      </c>
      <c r="C110" s="77">
        <v>3853.1</v>
      </c>
      <c r="L110" s="190">
        <v>46101</v>
      </c>
      <c r="M110" s="191" t="s">
        <v>522</v>
      </c>
    </row>
    <row r="111" spans="2:13" x14ac:dyDescent="0.2">
      <c r="B111" s="189">
        <v>46101</v>
      </c>
      <c r="C111" s="77">
        <v>4106.6000000000004</v>
      </c>
      <c r="L111" s="190">
        <v>46100</v>
      </c>
      <c r="M111" s="191" t="s">
        <v>523</v>
      </c>
    </row>
    <row r="112" spans="2:13" x14ac:dyDescent="0.2">
      <c r="B112" s="189">
        <v>46100</v>
      </c>
      <c r="C112" s="77">
        <v>4037.9</v>
      </c>
      <c r="L112" s="190">
        <v>46099</v>
      </c>
      <c r="M112" s="191" t="s">
        <v>524</v>
      </c>
    </row>
    <row r="113" spans="2:13" x14ac:dyDescent="0.2">
      <c r="B113" s="189">
        <v>46099</v>
      </c>
      <c r="C113" s="77">
        <v>4145.5</v>
      </c>
      <c r="L113" s="190">
        <v>46098</v>
      </c>
      <c r="M113" s="191" t="s">
        <v>490</v>
      </c>
    </row>
    <row r="114" spans="2:13" x14ac:dyDescent="0.2">
      <c r="B114" s="189">
        <v>46098</v>
      </c>
      <c r="C114" s="77">
        <v>4090.5</v>
      </c>
      <c r="L114" s="190">
        <v>46097</v>
      </c>
      <c r="M114" s="191" t="s">
        <v>525</v>
      </c>
    </row>
    <row r="115" spans="2:13" x14ac:dyDescent="0.2">
      <c r="B115" s="189">
        <v>46097</v>
      </c>
      <c r="C115" s="77">
        <v>4090.8</v>
      </c>
      <c r="L115" s="190">
        <v>46094</v>
      </c>
      <c r="M115" s="191" t="s">
        <v>526</v>
      </c>
    </row>
    <row r="116" spans="2:13" x14ac:dyDescent="0.2">
      <c r="B116" s="189">
        <v>46094</v>
      </c>
      <c r="C116" s="77">
        <v>4073.2</v>
      </c>
      <c r="L116" s="190">
        <v>46093</v>
      </c>
      <c r="M116" s="191" t="s">
        <v>527</v>
      </c>
    </row>
    <row r="117" spans="2:13" x14ac:dyDescent="0.2">
      <c r="B117" s="189">
        <v>46093</v>
      </c>
      <c r="C117" s="77">
        <v>4129.6000000000004</v>
      </c>
      <c r="L117" s="190">
        <v>46092</v>
      </c>
      <c r="M117" s="191" t="s">
        <v>528</v>
      </c>
    </row>
    <row r="118" spans="2:13" x14ac:dyDescent="0.2">
      <c r="B118" s="189">
        <v>46092</v>
      </c>
      <c r="C118" s="77">
        <v>4140.3</v>
      </c>
      <c r="L118" s="190">
        <v>46091</v>
      </c>
      <c r="M118" s="191" t="s">
        <v>529</v>
      </c>
    </row>
    <row r="119" spans="2:13" x14ac:dyDescent="0.2">
      <c r="B119" s="189">
        <v>46091</v>
      </c>
      <c r="C119" s="77">
        <v>4220.1000000000004</v>
      </c>
      <c r="L119" s="190">
        <v>46090</v>
      </c>
      <c r="M119" s="191" t="s">
        <v>530</v>
      </c>
    </row>
    <row r="120" spans="2:13" x14ac:dyDescent="0.2">
      <c r="B120" s="189">
        <v>46090</v>
      </c>
      <c r="C120" s="77">
        <v>4159.2</v>
      </c>
      <c r="L120" s="190">
        <v>46087</v>
      </c>
      <c r="M120" s="191" t="s">
        <v>531</v>
      </c>
    </row>
    <row r="121" spans="2:13" x14ac:dyDescent="0.2">
      <c r="B121" s="189">
        <v>46087</v>
      </c>
      <c r="C121" s="77">
        <v>4244.6000000000004</v>
      </c>
      <c r="L121" s="190">
        <v>46086</v>
      </c>
      <c r="M121" s="191" t="s">
        <v>532</v>
      </c>
    </row>
    <row r="122" spans="2:13" x14ac:dyDescent="0.2">
      <c r="B122" s="189">
        <v>46086</v>
      </c>
      <c r="C122" s="77">
        <v>4275.2</v>
      </c>
      <c r="L122" s="190">
        <v>46085</v>
      </c>
      <c r="M122" s="191" t="s">
        <v>522</v>
      </c>
    </row>
    <row r="123" spans="2:13" x14ac:dyDescent="0.2">
      <c r="B123" s="189">
        <v>46085</v>
      </c>
      <c r="C123" s="77">
        <v>4204.3999999999996</v>
      </c>
      <c r="L123" s="190">
        <v>46083</v>
      </c>
      <c r="M123" s="191" t="s">
        <v>533</v>
      </c>
    </row>
    <row r="124" spans="2:13" x14ac:dyDescent="0.2">
      <c r="B124" s="189">
        <v>46083</v>
      </c>
      <c r="C124" s="77">
        <v>4270.3</v>
      </c>
      <c r="L124" s="190">
        <v>46080</v>
      </c>
      <c r="M124" s="191" t="s">
        <v>534</v>
      </c>
    </row>
    <row r="125" spans="2:13" x14ac:dyDescent="0.2">
      <c r="B125" s="189">
        <v>46080</v>
      </c>
      <c r="C125" s="77">
        <v>4327.5</v>
      </c>
      <c r="L125" s="190">
        <v>46079</v>
      </c>
      <c r="M125" s="191" t="s">
        <v>535</v>
      </c>
    </row>
    <row r="126" spans="2:13" x14ac:dyDescent="0.2">
      <c r="B126" s="189">
        <v>46079</v>
      </c>
      <c r="C126" s="77">
        <v>4342.6000000000004</v>
      </c>
      <c r="L126" s="190">
        <v>46078</v>
      </c>
      <c r="M126" s="191" t="s">
        <v>536</v>
      </c>
    </row>
    <row r="127" spans="2:13" x14ac:dyDescent="0.2">
      <c r="B127" s="189">
        <v>46078</v>
      </c>
      <c r="C127" s="77">
        <v>4325</v>
      </c>
      <c r="L127" s="190">
        <v>46077</v>
      </c>
      <c r="M127" s="191" t="s">
        <v>537</v>
      </c>
    </row>
    <row r="128" spans="2:13" x14ac:dyDescent="0.2">
      <c r="B128" s="189">
        <v>46077</v>
      </c>
      <c r="C128" s="77">
        <v>4294.5</v>
      </c>
      <c r="L128" s="190">
        <v>46076</v>
      </c>
      <c r="M128" s="191" t="s">
        <v>538</v>
      </c>
    </row>
    <row r="129" spans="2:13" x14ac:dyDescent="0.2">
      <c r="B129" s="189">
        <v>46076</v>
      </c>
      <c r="C129" s="77">
        <v>4272.7</v>
      </c>
      <c r="L129" s="190">
        <v>46073</v>
      </c>
      <c r="M129" s="191" t="s">
        <v>539</v>
      </c>
    </row>
    <row r="130" spans="2:13" x14ac:dyDescent="0.2">
      <c r="B130" s="189">
        <v>46073</v>
      </c>
      <c r="C130" s="77">
        <v>4236.3999999999996</v>
      </c>
      <c r="L130" s="190">
        <v>46072</v>
      </c>
      <c r="M130" s="191" t="s">
        <v>540</v>
      </c>
    </row>
    <row r="131" spans="2:13" x14ac:dyDescent="0.2">
      <c r="B131" s="189">
        <v>46072</v>
      </c>
      <c r="C131" s="77">
        <v>4198.2</v>
      </c>
      <c r="L131" s="190">
        <v>46071</v>
      </c>
      <c r="M131" s="191" t="s">
        <v>541</v>
      </c>
    </row>
    <row r="132" spans="2:13" x14ac:dyDescent="0.2">
      <c r="B132" s="189">
        <v>46071</v>
      </c>
      <c r="C132" s="77">
        <v>4248.6000000000004</v>
      </c>
      <c r="L132" s="190">
        <v>46070</v>
      </c>
      <c r="M132" s="191" t="s">
        <v>542</v>
      </c>
    </row>
    <row r="133" spans="2:13" x14ac:dyDescent="0.2">
      <c r="B133" s="189">
        <v>46070</v>
      </c>
      <c r="C133" s="77">
        <v>4236.3999999999996</v>
      </c>
      <c r="L133" s="190">
        <v>46069</v>
      </c>
      <c r="M133" s="191" t="s">
        <v>543</v>
      </c>
    </row>
    <row r="134" spans="2:13" x14ac:dyDescent="0.2">
      <c r="B134" s="189">
        <v>46069</v>
      </c>
      <c r="C134" s="77">
        <v>4181.1000000000004</v>
      </c>
      <c r="L134" s="190">
        <v>46066</v>
      </c>
      <c r="M134" s="191" t="s">
        <v>544</v>
      </c>
    </row>
    <row r="135" spans="2:13" x14ac:dyDescent="0.2">
      <c r="B135" s="189">
        <v>46066</v>
      </c>
      <c r="C135" s="77">
        <v>4179.2</v>
      </c>
      <c r="L135" s="190">
        <v>46065</v>
      </c>
      <c r="M135" s="191" t="s">
        <v>545</v>
      </c>
    </row>
    <row r="136" spans="2:13" x14ac:dyDescent="0.2">
      <c r="B136" s="189">
        <v>46065</v>
      </c>
      <c r="C136" s="77">
        <v>4275.8</v>
      </c>
      <c r="L136" s="190">
        <v>46064</v>
      </c>
      <c r="M136" s="191" t="s">
        <v>546</v>
      </c>
    </row>
    <row r="137" spans="2:13" x14ac:dyDescent="0.2">
      <c r="B137" s="189">
        <v>46064</v>
      </c>
      <c r="C137" s="77">
        <v>4249.1000000000004</v>
      </c>
      <c r="L137" s="190">
        <v>46063</v>
      </c>
      <c r="M137" s="191" t="s">
        <v>547</v>
      </c>
    </row>
    <row r="138" spans="2:13" x14ac:dyDescent="0.2">
      <c r="B138" s="189">
        <v>46063</v>
      </c>
      <c r="C138" s="77">
        <v>4269.1000000000004</v>
      </c>
      <c r="L138" s="190">
        <v>46062</v>
      </c>
      <c r="M138" s="191" t="s">
        <v>548</v>
      </c>
    </row>
    <row r="139" spans="2:13" x14ac:dyDescent="0.2">
      <c r="B139" s="189">
        <v>46062</v>
      </c>
      <c r="C139" s="77">
        <v>4257.8</v>
      </c>
      <c r="L139" s="190">
        <v>46059</v>
      </c>
      <c r="M139" s="191" t="s">
        <v>549</v>
      </c>
    </row>
    <row r="140" spans="2:13" x14ac:dyDescent="0.2">
      <c r="B140" s="189">
        <v>46059</v>
      </c>
      <c r="C140" s="77">
        <v>4141</v>
      </c>
      <c r="L140" s="190">
        <v>46058</v>
      </c>
      <c r="M140" s="191" t="s">
        <v>550</v>
      </c>
    </row>
    <row r="141" spans="2:13" x14ac:dyDescent="0.2">
      <c r="B141" s="189">
        <v>46058</v>
      </c>
      <c r="C141" s="77">
        <v>4097.6000000000004</v>
      </c>
      <c r="L141" s="190">
        <v>46057</v>
      </c>
      <c r="M141" s="191" t="s">
        <v>551</v>
      </c>
    </row>
    <row r="142" spans="2:13" x14ac:dyDescent="0.2">
      <c r="B142" s="189">
        <v>46057</v>
      </c>
      <c r="C142" s="77">
        <v>4144</v>
      </c>
      <c r="L142" s="190">
        <v>46056</v>
      </c>
      <c r="M142" s="191" t="s">
        <v>518</v>
      </c>
    </row>
    <row r="143" spans="2:13" x14ac:dyDescent="0.2">
      <c r="B143" s="189">
        <v>46056</v>
      </c>
      <c r="C143" s="77">
        <v>4068.6</v>
      </c>
      <c r="L143" s="190">
        <v>46055</v>
      </c>
      <c r="M143" s="191" t="s">
        <v>513</v>
      </c>
    </row>
    <row r="144" spans="2:13" x14ac:dyDescent="0.2">
      <c r="B144" s="189">
        <v>46055</v>
      </c>
      <c r="C144" s="77">
        <v>3953.2</v>
      </c>
      <c r="L144" s="190">
        <v>46054</v>
      </c>
      <c r="M144" s="191" t="s">
        <v>430</v>
      </c>
    </row>
    <row r="145" spans="2:13" x14ac:dyDescent="0.2">
      <c r="B145" s="189">
        <v>46054</v>
      </c>
      <c r="C145" s="77">
        <v>3985.3</v>
      </c>
      <c r="L145" s="190">
        <v>46052</v>
      </c>
      <c r="M145" s="191" t="s">
        <v>552</v>
      </c>
    </row>
    <row r="146" spans="2:13" x14ac:dyDescent="0.2">
      <c r="B146" s="189">
        <v>46052</v>
      </c>
      <c r="C146" s="77">
        <v>3977.4</v>
      </c>
      <c r="L146" s="190">
        <v>46051</v>
      </c>
      <c r="M146" s="191" t="s">
        <v>534</v>
      </c>
    </row>
    <row r="147" spans="2:13" x14ac:dyDescent="0.2">
      <c r="B147" s="189">
        <v>46051</v>
      </c>
      <c r="C147" s="77">
        <v>3939.7</v>
      </c>
      <c r="L147" s="190">
        <v>46050</v>
      </c>
      <c r="M147" s="191" t="s">
        <v>553</v>
      </c>
    </row>
    <row r="148" spans="2:13" x14ac:dyDescent="0.2">
      <c r="B148" s="189">
        <v>46050</v>
      </c>
      <c r="C148" s="77">
        <v>3975.2</v>
      </c>
      <c r="L148" s="190">
        <v>46049</v>
      </c>
      <c r="M148" s="191" t="s">
        <v>476</v>
      </c>
    </row>
    <row r="149" spans="2:13" x14ac:dyDescent="0.2">
      <c r="B149" s="189">
        <v>46049</v>
      </c>
      <c r="C149" s="77">
        <v>3997</v>
      </c>
      <c r="L149" s="190">
        <v>46045</v>
      </c>
      <c r="M149" s="191" t="s">
        <v>522</v>
      </c>
    </row>
    <row r="150" spans="2:13" x14ac:dyDescent="0.2">
      <c r="B150" s="189">
        <v>46045</v>
      </c>
      <c r="C150" s="77">
        <v>4021.8</v>
      </c>
      <c r="L150" s="190">
        <v>46044</v>
      </c>
      <c r="M150" s="191" t="s">
        <v>554</v>
      </c>
    </row>
    <row r="151" spans="2:13" x14ac:dyDescent="0.2">
      <c r="B151" s="189">
        <v>46044</v>
      </c>
      <c r="C151" s="77">
        <v>4018.6</v>
      </c>
      <c r="L151" s="190">
        <v>46043</v>
      </c>
      <c r="M151" s="191" t="s">
        <v>555</v>
      </c>
    </row>
    <row r="152" spans="2:13" x14ac:dyDescent="0.2">
      <c r="B152" s="189">
        <v>46043</v>
      </c>
      <c r="C152" s="77">
        <v>4079.2</v>
      </c>
      <c r="L152" s="190">
        <v>46042</v>
      </c>
      <c r="M152" s="191" t="s">
        <v>556</v>
      </c>
    </row>
    <row r="153" spans="2:13" x14ac:dyDescent="0.2">
      <c r="B153" s="189">
        <v>46042</v>
      </c>
      <c r="C153" s="77">
        <v>4075.5</v>
      </c>
      <c r="L153" s="190">
        <v>46041</v>
      </c>
      <c r="M153" s="191" t="s">
        <v>557</v>
      </c>
    </row>
    <row r="154" spans="2:13" x14ac:dyDescent="0.2">
      <c r="B154" s="189">
        <v>46041</v>
      </c>
      <c r="C154" s="77">
        <v>4144.1000000000004</v>
      </c>
      <c r="L154" s="190">
        <v>46038</v>
      </c>
      <c r="M154" s="191" t="s">
        <v>558</v>
      </c>
    </row>
    <row r="155" spans="2:13" x14ac:dyDescent="0.2">
      <c r="B155" s="189">
        <v>46038</v>
      </c>
      <c r="C155" s="77">
        <v>4196.8999999999996</v>
      </c>
      <c r="L155" s="190">
        <v>46036</v>
      </c>
      <c r="M155" s="191" t="s">
        <v>559</v>
      </c>
    </row>
    <row r="156" spans="2:13" x14ac:dyDescent="0.2">
      <c r="B156" s="189">
        <v>46036</v>
      </c>
      <c r="C156" s="77">
        <v>4221.5</v>
      </c>
      <c r="L156" s="190">
        <v>46035</v>
      </c>
      <c r="M156" s="191" t="s">
        <v>560</v>
      </c>
    </row>
    <row r="157" spans="2:13" x14ac:dyDescent="0.2">
      <c r="B157" s="189">
        <v>46035</v>
      </c>
      <c r="C157" s="77">
        <v>4239.2</v>
      </c>
      <c r="L157" s="190">
        <v>46034</v>
      </c>
      <c r="M157" s="191" t="s">
        <v>561</v>
      </c>
    </row>
    <row r="158" spans="2:13" x14ac:dyDescent="0.2">
      <c r="B158" s="189">
        <v>46034</v>
      </c>
      <c r="C158" s="77">
        <v>4231.6000000000004</v>
      </c>
      <c r="L158" s="190">
        <v>46031</v>
      </c>
      <c r="M158" s="191" t="s">
        <v>562</v>
      </c>
    </row>
    <row r="159" spans="2:13" x14ac:dyDescent="0.2">
      <c r="B159" s="189">
        <v>46031</v>
      </c>
      <c r="C159" s="77">
        <v>4201.8</v>
      </c>
      <c r="L159" s="190">
        <v>46030</v>
      </c>
      <c r="M159" s="191" t="s">
        <v>563</v>
      </c>
    </row>
    <row r="160" spans="2:13" x14ac:dyDescent="0.2">
      <c r="B160" s="189">
        <v>46030</v>
      </c>
      <c r="C160" s="77">
        <v>4249</v>
      </c>
      <c r="L160" s="190">
        <v>46029</v>
      </c>
      <c r="M160" s="191" t="s">
        <v>564</v>
      </c>
    </row>
    <row r="161" spans="2:13" x14ac:dyDescent="0.2">
      <c r="B161" s="189">
        <v>46029</v>
      </c>
      <c r="C161" s="77">
        <v>4273.2</v>
      </c>
      <c r="L161" s="190">
        <v>46028</v>
      </c>
      <c r="M161" s="191" t="s">
        <v>565</v>
      </c>
    </row>
    <row r="162" spans="2:13" x14ac:dyDescent="0.2">
      <c r="B162" s="189">
        <v>46028</v>
      </c>
      <c r="C162" s="77">
        <v>4111.8</v>
      </c>
      <c r="L162" s="190">
        <v>46027</v>
      </c>
      <c r="M162" s="191" t="s">
        <v>566</v>
      </c>
    </row>
    <row r="163" spans="2:13" x14ac:dyDescent="0.2">
      <c r="B163" s="189">
        <v>46027</v>
      </c>
      <c r="C163" s="77">
        <v>4079.7</v>
      </c>
      <c r="L163" s="190">
        <v>46024</v>
      </c>
      <c r="M163" s="191" t="s">
        <v>567</v>
      </c>
    </row>
    <row r="164" spans="2:13" x14ac:dyDescent="0.2">
      <c r="B164" s="189">
        <v>46024</v>
      </c>
      <c r="C164" s="77">
        <v>4051.7</v>
      </c>
      <c r="L164" s="190">
        <v>46023</v>
      </c>
      <c r="M164" s="191" t="s">
        <v>568</v>
      </c>
    </row>
    <row r="165" spans="2:13" x14ac:dyDescent="0.2">
      <c r="B165" s="189">
        <v>46023</v>
      </c>
      <c r="C165" s="77">
        <v>4049.3</v>
      </c>
      <c r="L165" s="190">
        <v>46022</v>
      </c>
      <c r="M165" s="191" t="s">
        <v>569</v>
      </c>
    </row>
    <row r="166" spans="2:13" x14ac:dyDescent="0.2">
      <c r="B166" s="189">
        <v>46022</v>
      </c>
      <c r="C166" s="77">
        <v>4051.5</v>
      </c>
      <c r="L166" s="190">
        <v>46021</v>
      </c>
      <c r="M166" s="191" t="s">
        <v>433</v>
      </c>
    </row>
    <row r="167" spans="2:13" x14ac:dyDescent="0.2">
      <c r="B167" s="189">
        <v>46021</v>
      </c>
      <c r="C167" s="77">
        <v>3974.1</v>
      </c>
      <c r="L167" s="190">
        <v>46020</v>
      </c>
      <c r="M167" s="191" t="s">
        <v>460</v>
      </c>
    </row>
    <row r="168" spans="2:13" x14ac:dyDescent="0.2">
      <c r="B168" s="189">
        <v>46020</v>
      </c>
      <c r="C168" s="77">
        <v>3983.7</v>
      </c>
      <c r="L168" s="190">
        <v>46017</v>
      </c>
      <c r="M168" s="191" t="s">
        <v>430</v>
      </c>
    </row>
    <row r="169" spans="2:13" x14ac:dyDescent="0.2">
      <c r="B169" s="189">
        <v>46017</v>
      </c>
      <c r="C169" s="77">
        <v>3992</v>
      </c>
      <c r="L169" s="190">
        <v>46015</v>
      </c>
      <c r="M169" s="191" t="s">
        <v>570</v>
      </c>
    </row>
    <row r="170" spans="2:13" x14ac:dyDescent="0.2">
      <c r="B170" s="189">
        <v>46015</v>
      </c>
      <c r="C170" s="77">
        <v>3909.3</v>
      </c>
      <c r="L170" s="190">
        <v>46014</v>
      </c>
      <c r="M170" s="191" t="s">
        <v>571</v>
      </c>
    </row>
    <row r="171" spans="2:13" x14ac:dyDescent="0.2">
      <c r="B171" s="189">
        <v>46014</v>
      </c>
      <c r="C171" s="77">
        <v>3925.8</v>
      </c>
      <c r="L171" s="190">
        <v>46013</v>
      </c>
      <c r="M171" s="191" t="s">
        <v>572</v>
      </c>
    </row>
    <row r="172" spans="2:13" x14ac:dyDescent="0.2">
      <c r="B172" s="189">
        <v>46013</v>
      </c>
      <c r="C172" s="77">
        <v>3933.8</v>
      </c>
      <c r="L172" s="190">
        <v>46010</v>
      </c>
      <c r="M172" s="191" t="s">
        <v>573</v>
      </c>
    </row>
    <row r="173" spans="2:13" x14ac:dyDescent="0.2">
      <c r="B173" s="189">
        <v>46010</v>
      </c>
      <c r="C173" s="77">
        <v>3930.1</v>
      </c>
      <c r="L173" s="190">
        <v>46009</v>
      </c>
      <c r="M173" s="191" t="s">
        <v>574</v>
      </c>
    </row>
    <row r="174" spans="2:13" x14ac:dyDescent="0.2">
      <c r="B174" s="189">
        <v>46009</v>
      </c>
      <c r="C174" s="77">
        <v>3919.3</v>
      </c>
      <c r="L174" s="190">
        <v>46008</v>
      </c>
      <c r="M174" s="191" t="s">
        <v>575</v>
      </c>
    </row>
    <row r="175" spans="2:13" x14ac:dyDescent="0.2">
      <c r="B175" s="189">
        <v>46008</v>
      </c>
      <c r="C175" s="77">
        <v>3907.9</v>
      </c>
      <c r="L175" s="190">
        <v>46007</v>
      </c>
      <c r="M175" s="191" t="s">
        <v>576</v>
      </c>
    </row>
    <row r="176" spans="2:13" x14ac:dyDescent="0.2">
      <c r="B176" s="189">
        <v>46007</v>
      </c>
      <c r="C176" s="77">
        <v>3929.5</v>
      </c>
      <c r="L176" s="190">
        <v>46006</v>
      </c>
      <c r="M176" s="191" t="s">
        <v>577</v>
      </c>
    </row>
    <row r="177" spans="2:13" x14ac:dyDescent="0.2">
      <c r="B177" s="189">
        <v>46006</v>
      </c>
      <c r="C177" s="77">
        <v>3866.2</v>
      </c>
      <c r="L177" s="190">
        <v>46003</v>
      </c>
      <c r="M177" s="191" t="s">
        <v>578</v>
      </c>
    </row>
    <row r="178" spans="2:13" x14ac:dyDescent="0.2">
      <c r="B178" s="189">
        <v>46003</v>
      </c>
      <c r="C178" s="77">
        <v>3880.2</v>
      </c>
      <c r="L178" s="190">
        <v>46002</v>
      </c>
      <c r="M178" s="191" t="s">
        <v>579</v>
      </c>
    </row>
    <row r="179" spans="2:13" x14ac:dyDescent="0.2">
      <c r="B179" s="189">
        <v>46002</v>
      </c>
      <c r="C179" s="77">
        <v>3844.8</v>
      </c>
      <c r="L179" s="190">
        <v>46001</v>
      </c>
      <c r="M179" s="191" t="s">
        <v>580</v>
      </c>
    </row>
    <row r="180" spans="2:13" x14ac:dyDescent="0.2">
      <c r="B180" s="189">
        <v>46001</v>
      </c>
      <c r="C180" s="77">
        <v>3845.7</v>
      </c>
      <c r="L180" s="190">
        <v>46000</v>
      </c>
      <c r="M180" s="191" t="s">
        <v>471</v>
      </c>
    </row>
    <row r="181" spans="2:13" x14ac:dyDescent="0.2">
      <c r="B181" s="189">
        <v>46000</v>
      </c>
      <c r="C181" s="77">
        <v>3849</v>
      </c>
      <c r="L181" s="190">
        <v>45999</v>
      </c>
      <c r="M181" s="191" t="s">
        <v>581</v>
      </c>
    </row>
    <row r="182" spans="2:13" x14ac:dyDescent="0.2">
      <c r="B182" s="189">
        <v>45999</v>
      </c>
      <c r="C182" s="77">
        <v>3767</v>
      </c>
      <c r="L182" s="190">
        <v>45996</v>
      </c>
      <c r="M182" s="191" t="s">
        <v>582</v>
      </c>
    </row>
    <row r="183" spans="2:13" x14ac:dyDescent="0.2">
      <c r="B183" s="189">
        <v>45996</v>
      </c>
      <c r="C183" s="77">
        <v>3813.3</v>
      </c>
      <c r="L183" s="190">
        <v>45995</v>
      </c>
      <c r="M183" s="191" t="s">
        <v>583</v>
      </c>
    </row>
    <row r="184" spans="2:13" x14ac:dyDescent="0.2">
      <c r="B184" s="189">
        <v>45995</v>
      </c>
      <c r="C184" s="77">
        <v>3800.4</v>
      </c>
      <c r="L184" s="190">
        <v>45994</v>
      </c>
      <c r="M184" s="191" t="s">
        <v>584</v>
      </c>
    </row>
    <row r="185" spans="2:13" x14ac:dyDescent="0.2">
      <c r="B185" s="189">
        <v>45994</v>
      </c>
      <c r="C185" s="77">
        <v>3817.8</v>
      </c>
      <c r="L185" s="190">
        <v>45993</v>
      </c>
      <c r="M185" s="191" t="s">
        <v>585</v>
      </c>
    </row>
    <row r="186" spans="2:13" x14ac:dyDescent="0.2">
      <c r="B186" s="189">
        <v>45993</v>
      </c>
      <c r="C186" s="77">
        <v>3885.8</v>
      </c>
      <c r="L186" s="190">
        <v>45992</v>
      </c>
      <c r="M186" s="191" t="s">
        <v>586</v>
      </c>
    </row>
    <row r="187" spans="2:13" x14ac:dyDescent="0.2">
      <c r="B187" s="189">
        <v>45992</v>
      </c>
      <c r="C187" s="77">
        <v>3894.9</v>
      </c>
      <c r="L187" s="190">
        <v>45989</v>
      </c>
      <c r="M187" s="191" t="s">
        <v>587</v>
      </c>
    </row>
    <row r="188" spans="2:13" x14ac:dyDescent="0.2">
      <c r="B188" s="189">
        <v>45989</v>
      </c>
      <c r="C188" s="77">
        <v>3907.7</v>
      </c>
      <c r="L188" s="190">
        <v>45988</v>
      </c>
      <c r="M188" s="191" t="s">
        <v>588</v>
      </c>
    </row>
    <row r="189" spans="2:13" x14ac:dyDescent="0.2">
      <c r="B189" s="189">
        <v>45988</v>
      </c>
      <c r="C189" s="77">
        <v>3903.3</v>
      </c>
      <c r="L189" s="190">
        <v>45987</v>
      </c>
      <c r="M189" s="191" t="s">
        <v>589</v>
      </c>
    </row>
    <row r="190" spans="2:13" x14ac:dyDescent="0.2">
      <c r="B190" s="189">
        <v>45987</v>
      </c>
      <c r="C190" s="77">
        <v>3897.7</v>
      </c>
      <c r="L190" s="190">
        <v>45986</v>
      </c>
      <c r="M190" s="191" t="s">
        <v>590</v>
      </c>
    </row>
    <row r="191" spans="2:13" x14ac:dyDescent="0.2">
      <c r="B191" s="189">
        <v>45986</v>
      </c>
      <c r="C191" s="77">
        <v>3855.1</v>
      </c>
      <c r="L191" s="190">
        <v>45985</v>
      </c>
      <c r="M191" s="191" t="s">
        <v>591</v>
      </c>
    </row>
    <row r="192" spans="2:13" x14ac:dyDescent="0.2">
      <c r="B192" s="189">
        <v>45985</v>
      </c>
      <c r="C192" s="77">
        <v>3874.3</v>
      </c>
      <c r="L192" s="190">
        <v>45982</v>
      </c>
      <c r="M192" s="191" t="s">
        <v>592</v>
      </c>
    </row>
    <row r="193" spans="2:13" x14ac:dyDescent="0.2">
      <c r="B193" s="189">
        <v>45982</v>
      </c>
      <c r="C193" s="77">
        <v>3904.2</v>
      </c>
      <c r="L193" s="190">
        <v>45981</v>
      </c>
      <c r="M193" s="191" t="s">
        <v>593</v>
      </c>
    </row>
    <row r="194" spans="2:13" x14ac:dyDescent="0.2">
      <c r="B194" s="189">
        <v>45981</v>
      </c>
      <c r="C194" s="77">
        <v>3902.4</v>
      </c>
      <c r="L194" s="190">
        <v>45980</v>
      </c>
      <c r="M194" s="191" t="s">
        <v>594</v>
      </c>
    </row>
    <row r="195" spans="2:13" x14ac:dyDescent="0.2">
      <c r="B195" s="189">
        <v>45980</v>
      </c>
      <c r="C195" s="77">
        <v>3933.1</v>
      </c>
      <c r="L195" s="190">
        <v>45979</v>
      </c>
      <c r="M195" s="191" t="s">
        <v>595</v>
      </c>
    </row>
    <row r="196" spans="2:13" x14ac:dyDescent="0.2">
      <c r="B196" s="189">
        <v>45979</v>
      </c>
      <c r="C196" s="77">
        <v>3879.2</v>
      </c>
      <c r="L196" s="190">
        <v>45978</v>
      </c>
      <c r="M196" s="191" t="s">
        <v>596</v>
      </c>
    </row>
    <row r="197" spans="2:13" x14ac:dyDescent="0.2">
      <c r="B197" s="189">
        <v>45978</v>
      </c>
      <c r="C197" s="77">
        <v>3868.6</v>
      </c>
      <c r="L197" s="190">
        <v>45975</v>
      </c>
      <c r="M197" s="191" t="s">
        <v>597</v>
      </c>
    </row>
    <row r="198" spans="2:13" x14ac:dyDescent="0.2">
      <c r="B198" s="189">
        <v>45975</v>
      </c>
      <c r="C198" s="77">
        <v>3829.2</v>
      </c>
      <c r="L198" s="190">
        <v>45974</v>
      </c>
      <c r="M198" s="191" t="s">
        <v>598</v>
      </c>
    </row>
    <row r="199" spans="2:13" x14ac:dyDescent="0.2">
      <c r="B199" s="189">
        <v>45974</v>
      </c>
      <c r="C199" s="77">
        <v>3839.2</v>
      </c>
      <c r="L199" s="190">
        <v>45973</v>
      </c>
      <c r="M199" s="191" t="s">
        <v>599</v>
      </c>
    </row>
    <row r="200" spans="2:13" x14ac:dyDescent="0.2">
      <c r="B200" s="189">
        <v>45973</v>
      </c>
      <c r="C200" s="77">
        <v>3851.1</v>
      </c>
      <c r="L200" s="190">
        <v>45972</v>
      </c>
      <c r="M200" s="191" t="s">
        <v>600</v>
      </c>
    </row>
    <row r="201" spans="2:13" x14ac:dyDescent="0.2">
      <c r="B201" s="189">
        <v>45972</v>
      </c>
      <c r="C201" s="77">
        <v>3812.4</v>
      </c>
      <c r="L201" s="190">
        <v>45971</v>
      </c>
      <c r="M201" s="191" t="s">
        <v>601</v>
      </c>
    </row>
    <row r="202" spans="2:13" x14ac:dyDescent="0.2">
      <c r="B202" s="189">
        <v>45971</v>
      </c>
      <c r="C202" s="77">
        <v>3803</v>
      </c>
      <c r="L202" s="190">
        <v>45968</v>
      </c>
      <c r="M202" s="191" t="s">
        <v>602</v>
      </c>
    </row>
    <row r="203" spans="2:13" x14ac:dyDescent="0.2">
      <c r="B203" s="189">
        <v>45968</v>
      </c>
      <c r="C203" s="77">
        <v>3769.3</v>
      </c>
      <c r="L203" s="190">
        <v>45967</v>
      </c>
      <c r="M203" s="191" t="s">
        <v>603</v>
      </c>
    </row>
    <row r="204" spans="2:13" x14ac:dyDescent="0.2">
      <c r="B204" s="189">
        <v>45967</v>
      </c>
      <c r="C204" s="77">
        <v>3774.4</v>
      </c>
      <c r="L204" s="190">
        <v>45965</v>
      </c>
      <c r="M204" s="191" t="s">
        <v>604</v>
      </c>
    </row>
    <row r="205" spans="2:13" x14ac:dyDescent="0.2">
      <c r="B205" s="189">
        <v>45965</v>
      </c>
      <c r="C205" s="77">
        <v>3813.5</v>
      </c>
      <c r="L205" s="190">
        <v>45964</v>
      </c>
      <c r="M205" s="191" t="s">
        <v>471</v>
      </c>
    </row>
    <row r="206" spans="2:13" x14ac:dyDescent="0.2">
      <c r="B206" s="189">
        <v>45964</v>
      </c>
      <c r="C206" s="77">
        <v>3724.5</v>
      </c>
      <c r="L206" s="190">
        <v>45961</v>
      </c>
      <c r="M206" s="191" t="s">
        <v>605</v>
      </c>
    </row>
    <row r="207" spans="2:13" x14ac:dyDescent="0.2">
      <c r="B207" s="189">
        <v>45961</v>
      </c>
      <c r="C207" s="77">
        <v>3746.7</v>
      </c>
      <c r="L207" s="190">
        <v>45960</v>
      </c>
      <c r="M207" s="191" t="s">
        <v>606</v>
      </c>
    </row>
    <row r="208" spans="2:13" x14ac:dyDescent="0.2">
      <c r="B208" s="189">
        <v>45960</v>
      </c>
      <c r="C208" s="77">
        <v>3750.7</v>
      </c>
      <c r="L208" s="190">
        <v>45959</v>
      </c>
      <c r="M208" s="191" t="s">
        <v>607</v>
      </c>
    </row>
    <row r="209" spans="2:13" x14ac:dyDescent="0.2">
      <c r="B209" s="189">
        <v>45959</v>
      </c>
      <c r="C209" s="77">
        <v>3748.3</v>
      </c>
      <c r="L209" s="190">
        <v>45958</v>
      </c>
      <c r="M209" s="191" t="s">
        <v>608</v>
      </c>
    </row>
    <row r="210" spans="2:13" x14ac:dyDescent="0.2">
      <c r="B210" s="189">
        <v>45958</v>
      </c>
      <c r="C210" s="77">
        <v>3717</v>
      </c>
      <c r="L210" s="190">
        <v>45957</v>
      </c>
      <c r="M210" s="191" t="s">
        <v>609</v>
      </c>
    </row>
    <row r="211" spans="2:13" x14ac:dyDescent="0.2">
      <c r="B211" s="189">
        <v>45957</v>
      </c>
      <c r="C211" s="77">
        <v>3739.8</v>
      </c>
      <c r="L211" s="190">
        <v>45954</v>
      </c>
      <c r="M211" s="191" t="s">
        <v>610</v>
      </c>
    </row>
    <row r="212" spans="2:13" x14ac:dyDescent="0.2">
      <c r="B212" s="189">
        <v>45954</v>
      </c>
      <c r="C212" s="77">
        <v>3714.9</v>
      </c>
      <c r="L212" s="190">
        <v>45953</v>
      </c>
      <c r="M212" s="191" t="s">
        <v>611</v>
      </c>
    </row>
    <row r="213" spans="2:13" x14ac:dyDescent="0.2">
      <c r="B213" s="189">
        <v>45953</v>
      </c>
      <c r="C213" s="77">
        <v>3772.3</v>
      </c>
      <c r="L213" s="190">
        <v>45951</v>
      </c>
      <c r="M213" s="191" t="s">
        <v>612</v>
      </c>
    </row>
    <row r="214" spans="2:13" x14ac:dyDescent="0.2">
      <c r="B214" s="189">
        <v>45951</v>
      </c>
      <c r="C214" s="77">
        <v>3729</v>
      </c>
      <c r="L214" s="190">
        <v>45950</v>
      </c>
      <c r="M214" s="191" t="s">
        <v>613</v>
      </c>
    </row>
    <row r="215" spans="2:13" x14ac:dyDescent="0.2">
      <c r="B215" s="189">
        <v>45950</v>
      </c>
      <c r="C215" s="77">
        <v>3737.2</v>
      </c>
      <c r="L215" s="190">
        <v>45947</v>
      </c>
      <c r="M215" s="191" t="s">
        <v>471</v>
      </c>
    </row>
    <row r="216" spans="2:13" x14ac:dyDescent="0.2">
      <c r="B216" s="189">
        <v>45947</v>
      </c>
      <c r="C216" s="77">
        <v>3674.8</v>
      </c>
      <c r="L216" s="190">
        <v>45946</v>
      </c>
      <c r="M216" s="191" t="s">
        <v>521</v>
      </c>
    </row>
    <row r="217" spans="2:13" x14ac:dyDescent="0.2">
      <c r="B217" s="189">
        <v>45946</v>
      </c>
      <c r="C217" s="77">
        <v>3640.3</v>
      </c>
      <c r="L217" s="190">
        <v>45945</v>
      </c>
      <c r="M217" s="191" t="s">
        <v>525</v>
      </c>
    </row>
    <row r="218" spans="2:13" x14ac:dyDescent="0.2">
      <c r="B218" s="189">
        <v>45945</v>
      </c>
      <c r="C218" s="77">
        <v>3549</v>
      </c>
      <c r="L218" s="190">
        <v>45944</v>
      </c>
      <c r="M218" s="191" t="s">
        <v>614</v>
      </c>
    </row>
    <row r="219" spans="2:13" x14ac:dyDescent="0.2">
      <c r="B219" s="189">
        <v>45944</v>
      </c>
      <c r="C219" s="77">
        <v>3537.4</v>
      </c>
      <c r="L219" s="190">
        <v>45943</v>
      </c>
      <c r="M219" s="191" t="s">
        <v>615</v>
      </c>
    </row>
    <row r="220" spans="2:13" x14ac:dyDescent="0.2">
      <c r="B220" s="189">
        <v>45943</v>
      </c>
      <c r="C220" s="77">
        <v>3533.6</v>
      </c>
      <c r="L220" s="190">
        <v>45940</v>
      </c>
      <c r="M220" s="191" t="s">
        <v>616</v>
      </c>
    </row>
    <row r="221" spans="2:13" x14ac:dyDescent="0.2">
      <c r="B221" s="189">
        <v>45940</v>
      </c>
      <c r="C221" s="77">
        <v>3531.9</v>
      </c>
      <c r="L221" s="190">
        <v>45939</v>
      </c>
      <c r="M221" s="191" t="s">
        <v>617</v>
      </c>
    </row>
    <row r="222" spans="2:13" x14ac:dyDescent="0.2">
      <c r="B222" s="189">
        <v>45939</v>
      </c>
      <c r="C222" s="77">
        <v>3550.6</v>
      </c>
      <c r="L222" s="190">
        <v>45938</v>
      </c>
      <c r="M222" s="191" t="s">
        <v>618</v>
      </c>
    </row>
    <row r="223" spans="2:13" x14ac:dyDescent="0.2">
      <c r="B223" s="189">
        <v>45938</v>
      </c>
      <c r="C223" s="77">
        <v>3565.6</v>
      </c>
      <c r="L223" s="190">
        <v>45937</v>
      </c>
      <c r="M223" s="191" t="s">
        <v>619</v>
      </c>
    </row>
    <row r="224" spans="2:13" x14ac:dyDescent="0.2">
      <c r="B224" s="189">
        <v>45937</v>
      </c>
      <c r="C224" s="77">
        <v>3418.2</v>
      </c>
      <c r="L224" s="190">
        <v>45936</v>
      </c>
      <c r="M224" s="191" t="s">
        <v>436</v>
      </c>
    </row>
    <row r="225" spans="2:13" x14ac:dyDescent="0.2">
      <c r="B225" s="189">
        <v>45936</v>
      </c>
      <c r="C225" s="77">
        <v>3425.4</v>
      </c>
      <c r="L225" s="190">
        <v>45933</v>
      </c>
      <c r="M225" s="191" t="s">
        <v>431</v>
      </c>
    </row>
    <row r="226" spans="2:13" x14ac:dyDescent="0.2">
      <c r="B226" s="189">
        <v>45933</v>
      </c>
      <c r="C226" s="77">
        <v>3453.3</v>
      </c>
      <c r="L226" s="190">
        <v>45931</v>
      </c>
      <c r="M226" s="191" t="s">
        <v>620</v>
      </c>
    </row>
    <row r="227" spans="2:13" x14ac:dyDescent="0.2">
      <c r="B227" s="189">
        <v>45931</v>
      </c>
      <c r="C227" s="77">
        <v>3408.3</v>
      </c>
      <c r="L227" s="190">
        <v>45930</v>
      </c>
      <c r="M227" s="191" t="s">
        <v>621</v>
      </c>
    </row>
    <row r="228" spans="2:13" x14ac:dyDescent="0.2">
      <c r="B228" s="189">
        <v>45930</v>
      </c>
      <c r="C228" s="77">
        <v>3367</v>
      </c>
      <c r="L228" s="190">
        <v>45929</v>
      </c>
      <c r="M228" s="191" t="s">
        <v>622</v>
      </c>
    </row>
    <row r="229" spans="2:13" x14ac:dyDescent="0.2">
      <c r="B229" s="189">
        <v>45929</v>
      </c>
      <c r="C229" s="77">
        <v>3401.2</v>
      </c>
      <c r="L229" s="190">
        <v>45926</v>
      </c>
      <c r="M229" s="191" t="s">
        <v>623</v>
      </c>
    </row>
    <row r="230" spans="2:13" x14ac:dyDescent="0.2">
      <c r="B230" s="189">
        <v>45926</v>
      </c>
      <c r="C230" s="77">
        <v>3327.3</v>
      </c>
      <c r="L230" s="190">
        <v>45925</v>
      </c>
      <c r="M230" s="191" t="s">
        <v>449</v>
      </c>
    </row>
    <row r="231" spans="2:13" x14ac:dyDescent="0.2">
      <c r="B231" s="189">
        <v>45925</v>
      </c>
      <c r="C231" s="77">
        <v>3378.5</v>
      </c>
      <c r="L231" s="190">
        <v>45924</v>
      </c>
      <c r="M231" s="191" t="s">
        <v>624</v>
      </c>
    </row>
    <row r="232" spans="2:13" x14ac:dyDescent="0.2">
      <c r="B232" s="189">
        <v>45924</v>
      </c>
      <c r="C232" s="77">
        <v>3418.3</v>
      </c>
      <c r="L232" s="190">
        <v>45923</v>
      </c>
      <c r="M232" s="191" t="s">
        <v>449</v>
      </c>
    </row>
    <row r="233" spans="2:13" x14ac:dyDescent="0.2">
      <c r="B233" s="189">
        <v>45923</v>
      </c>
      <c r="C233" s="77">
        <v>3439.2</v>
      </c>
      <c r="L233" s="190">
        <v>45922</v>
      </c>
      <c r="M233" s="191" t="s">
        <v>625</v>
      </c>
    </row>
    <row r="234" spans="2:13" x14ac:dyDescent="0.2">
      <c r="B234" s="189">
        <v>45922</v>
      </c>
      <c r="C234" s="77">
        <v>3457.5</v>
      </c>
      <c r="L234" s="190">
        <v>45919</v>
      </c>
      <c r="M234" s="191" t="s">
        <v>626</v>
      </c>
    </row>
    <row r="235" spans="2:13" x14ac:dyDescent="0.2">
      <c r="B235" s="189">
        <v>45919</v>
      </c>
      <c r="C235" s="77">
        <v>3467.2</v>
      </c>
      <c r="L235" s="190">
        <v>45918</v>
      </c>
      <c r="M235" s="191" t="s">
        <v>627</v>
      </c>
    </row>
    <row r="236" spans="2:13" x14ac:dyDescent="0.2">
      <c r="B236" s="189">
        <v>45918</v>
      </c>
      <c r="C236" s="77">
        <v>3511.3</v>
      </c>
      <c r="L236" s="190">
        <v>45917</v>
      </c>
      <c r="M236" s="191" t="s">
        <v>628</v>
      </c>
    </row>
    <row r="237" spans="2:13" x14ac:dyDescent="0.2">
      <c r="B237" s="189">
        <v>45917</v>
      </c>
      <c r="C237" s="77">
        <v>3523</v>
      </c>
      <c r="L237" s="190">
        <v>45916</v>
      </c>
      <c r="M237" s="191" t="s">
        <v>629</v>
      </c>
    </row>
    <row r="238" spans="2:13" x14ac:dyDescent="0.2">
      <c r="B238" s="189">
        <v>45916</v>
      </c>
      <c r="C238" s="77">
        <v>3556.8</v>
      </c>
      <c r="L238" s="190">
        <v>45915</v>
      </c>
      <c r="M238" s="191" t="s">
        <v>630</v>
      </c>
    </row>
    <row r="239" spans="2:13" x14ac:dyDescent="0.2">
      <c r="B239" s="189">
        <v>45915</v>
      </c>
      <c r="C239" s="77">
        <v>3534.1</v>
      </c>
      <c r="L239" s="190">
        <v>45912</v>
      </c>
      <c r="M239" s="191" t="s">
        <v>631</v>
      </c>
    </row>
    <row r="240" spans="2:13" x14ac:dyDescent="0.2">
      <c r="B240" s="189">
        <v>45912</v>
      </c>
      <c r="C240" s="77">
        <v>3571.9</v>
      </c>
      <c r="L240" s="190">
        <v>45911</v>
      </c>
      <c r="M240" s="191" t="s">
        <v>632</v>
      </c>
    </row>
    <row r="241" spans="2:13" x14ac:dyDescent="0.2">
      <c r="B241" s="189">
        <v>45911</v>
      </c>
      <c r="C241" s="77">
        <v>3584.2</v>
      </c>
      <c r="L241" s="190">
        <v>45910</v>
      </c>
      <c r="M241" s="191" t="s">
        <v>633</v>
      </c>
    </row>
    <row r="242" spans="2:13" x14ac:dyDescent="0.2">
      <c r="B242" s="189">
        <v>45910</v>
      </c>
      <c r="C242" s="77">
        <v>3620.6</v>
      </c>
      <c r="L242" s="190">
        <v>45909</v>
      </c>
      <c r="M242" s="191" t="s">
        <v>634</v>
      </c>
    </row>
    <row r="243" spans="2:13" x14ac:dyDescent="0.2">
      <c r="B243" s="189">
        <v>45909</v>
      </c>
      <c r="C243" s="77">
        <v>3630.1</v>
      </c>
      <c r="L243" s="190">
        <v>45908</v>
      </c>
      <c r="M243" s="191" t="s">
        <v>635</v>
      </c>
    </row>
    <row r="244" spans="2:13" x14ac:dyDescent="0.2">
      <c r="B244" s="189">
        <v>45908</v>
      </c>
      <c r="C244" s="77">
        <v>3658</v>
      </c>
      <c r="L244" s="190">
        <v>45905</v>
      </c>
      <c r="M244" s="191" t="s">
        <v>636</v>
      </c>
    </row>
    <row r="245" spans="2:13" x14ac:dyDescent="0.2">
      <c r="B245" s="189">
        <v>45905</v>
      </c>
      <c r="C245" s="77">
        <v>3665.3</v>
      </c>
      <c r="L245" s="190">
        <v>45904</v>
      </c>
      <c r="M245" s="191" t="s">
        <v>637</v>
      </c>
    </row>
    <row r="246" spans="2:13" x14ac:dyDescent="0.2">
      <c r="B246" s="189">
        <v>45904</v>
      </c>
      <c r="C246" s="77">
        <v>3691.1</v>
      </c>
      <c r="L246" s="190">
        <v>45903</v>
      </c>
      <c r="M246" s="191" t="s">
        <v>638</v>
      </c>
    </row>
    <row r="247" spans="2:13" x14ac:dyDescent="0.2">
      <c r="B247" s="189">
        <v>45903</v>
      </c>
      <c r="C247" s="77">
        <v>3690.6</v>
      </c>
      <c r="L247" s="190">
        <v>45902</v>
      </c>
      <c r="M247" s="191" t="s">
        <v>639</v>
      </c>
    </row>
    <row r="248" spans="2:13" x14ac:dyDescent="0.2">
      <c r="B248" s="189">
        <v>45902</v>
      </c>
      <c r="C248" s="77">
        <v>3620.6</v>
      </c>
      <c r="L248" s="190">
        <v>45901</v>
      </c>
      <c r="M248" s="191" t="s">
        <v>640</v>
      </c>
    </row>
    <row r="249" spans="2:13" x14ac:dyDescent="0.2">
      <c r="B249" s="189">
        <v>45901</v>
      </c>
      <c r="C249" s="77">
        <v>3618.6</v>
      </c>
      <c r="L249" s="190">
        <v>45898</v>
      </c>
      <c r="M249" s="191" t="s">
        <v>641</v>
      </c>
    </row>
    <row r="250" spans="2:13" x14ac:dyDescent="0.2">
      <c r="B250" s="189">
        <v>45898</v>
      </c>
      <c r="C250" s="77">
        <v>3628.8</v>
      </c>
      <c r="L250" s="190">
        <v>45897</v>
      </c>
      <c r="M250" s="191" t="s">
        <v>642</v>
      </c>
    </row>
    <row r="251" spans="2:13" x14ac:dyDescent="0.2">
      <c r="B251" s="189">
        <v>45897</v>
      </c>
      <c r="C251" s="77">
        <v>3637.7</v>
      </c>
      <c r="L251" s="190">
        <v>45895</v>
      </c>
      <c r="M251" s="191" t="s">
        <v>643</v>
      </c>
    </row>
    <row r="252" spans="2:13" x14ac:dyDescent="0.2">
      <c r="B252" s="189">
        <v>45895</v>
      </c>
      <c r="C252" s="77">
        <v>3594</v>
      </c>
      <c r="L252" s="190">
        <v>45894</v>
      </c>
      <c r="M252" s="191" t="s">
        <v>644</v>
      </c>
    </row>
    <row r="253" spans="2:13" x14ac:dyDescent="0.2">
      <c r="B253" s="189">
        <v>45894</v>
      </c>
      <c r="C253" s="77">
        <v>3651.4</v>
      </c>
      <c r="L253" s="190">
        <v>45891</v>
      </c>
      <c r="M253" s="191" t="s">
        <v>645</v>
      </c>
    </row>
    <row r="254" spans="2:13" x14ac:dyDescent="0.2">
      <c r="B254" s="189">
        <v>45891</v>
      </c>
      <c r="C254" s="77">
        <v>3621</v>
      </c>
      <c r="L254" s="190">
        <v>45890</v>
      </c>
      <c r="M254" s="191" t="s">
        <v>646</v>
      </c>
    </row>
    <row r="255" spans="2:13" x14ac:dyDescent="0.2">
      <c r="B255" s="189">
        <v>45890</v>
      </c>
      <c r="C255" s="77">
        <v>3616.3</v>
      </c>
      <c r="L255" s="190">
        <v>45889</v>
      </c>
      <c r="M255" s="191" t="s">
        <v>647</v>
      </c>
    </row>
    <row r="256" spans="2:13" x14ac:dyDescent="0.2">
      <c r="B256" s="189">
        <v>45889</v>
      </c>
      <c r="C256" s="77">
        <v>3595</v>
      </c>
      <c r="L256" s="190">
        <v>45888</v>
      </c>
      <c r="M256" s="191" t="s">
        <v>648</v>
      </c>
    </row>
    <row r="257" spans="2:13" x14ac:dyDescent="0.2">
      <c r="B257" s="189">
        <v>45888</v>
      </c>
      <c r="C257" s="77">
        <v>3568.1</v>
      </c>
      <c r="L257" s="190">
        <v>45887</v>
      </c>
      <c r="M257" s="191" t="s">
        <v>649</v>
      </c>
    </row>
    <row r="258" spans="2:13" x14ac:dyDescent="0.2">
      <c r="B258" s="189">
        <v>45887</v>
      </c>
      <c r="C258" s="77">
        <v>3554.8</v>
      </c>
      <c r="L258" s="190">
        <v>45883</v>
      </c>
      <c r="M258" s="191" t="s">
        <v>650</v>
      </c>
    </row>
    <row r="259" spans="2:13" x14ac:dyDescent="0.2">
      <c r="B259" s="189">
        <v>45883</v>
      </c>
      <c r="C259" s="77">
        <v>3489.4</v>
      </c>
      <c r="L259" s="190">
        <v>45882</v>
      </c>
      <c r="M259" s="191" t="s">
        <v>651</v>
      </c>
    </row>
    <row r="260" spans="2:13" x14ac:dyDescent="0.2">
      <c r="B260" s="189">
        <v>45882</v>
      </c>
      <c r="C260" s="77">
        <v>3466.8</v>
      </c>
      <c r="L260" s="190">
        <v>45881</v>
      </c>
      <c r="M260" s="191" t="s">
        <v>652</v>
      </c>
    </row>
    <row r="261" spans="2:13" x14ac:dyDescent="0.2">
      <c r="B261" s="189">
        <v>45881</v>
      </c>
      <c r="C261" s="77">
        <v>3486.8</v>
      </c>
      <c r="L261" s="190">
        <v>45880</v>
      </c>
      <c r="M261" s="191" t="s">
        <v>653</v>
      </c>
    </row>
    <row r="262" spans="2:13" x14ac:dyDescent="0.2">
      <c r="B262" s="189">
        <v>45880</v>
      </c>
      <c r="C262" s="77">
        <v>3467.9</v>
      </c>
      <c r="L262" s="190">
        <v>45877</v>
      </c>
      <c r="M262" s="191" t="s">
        <v>654</v>
      </c>
    </row>
    <row r="263" spans="2:13" x14ac:dyDescent="0.2">
      <c r="B263" s="189">
        <v>45877</v>
      </c>
      <c r="C263" s="77">
        <v>3460.2</v>
      </c>
      <c r="L263" s="190">
        <v>45876</v>
      </c>
      <c r="M263" s="191" t="s">
        <v>655</v>
      </c>
    </row>
    <row r="264" spans="2:13" x14ac:dyDescent="0.2">
      <c r="B264" s="189">
        <v>45876</v>
      </c>
      <c r="C264" s="77">
        <v>3415.7</v>
      </c>
      <c r="L264" s="190">
        <v>45875</v>
      </c>
      <c r="M264" s="191" t="s">
        <v>656</v>
      </c>
    </row>
    <row r="265" spans="2:13" x14ac:dyDescent="0.2">
      <c r="B265" s="189">
        <v>45875</v>
      </c>
      <c r="C265" s="77">
        <v>3417.7</v>
      </c>
      <c r="L265" s="190">
        <v>45874</v>
      </c>
      <c r="M265" s="191" t="s">
        <v>657</v>
      </c>
    </row>
    <row r="266" spans="2:13" x14ac:dyDescent="0.2">
      <c r="B266" s="189">
        <v>45874</v>
      </c>
      <c r="C266" s="77">
        <v>3418.2</v>
      </c>
      <c r="L266" s="190">
        <v>45873</v>
      </c>
      <c r="M266" s="191" t="s">
        <v>658</v>
      </c>
    </row>
    <row r="267" spans="2:13" x14ac:dyDescent="0.2">
      <c r="B267" s="189">
        <v>45873</v>
      </c>
      <c r="C267" s="77">
        <v>3356.3</v>
      </c>
      <c r="L267" s="190">
        <v>45870</v>
      </c>
      <c r="M267" s="191" t="s">
        <v>659</v>
      </c>
    </row>
    <row r="268" spans="2:13" x14ac:dyDescent="0.2">
      <c r="B268" s="189">
        <v>45870</v>
      </c>
      <c r="C268" s="77">
        <v>3316</v>
      </c>
      <c r="L268" s="190">
        <v>45869</v>
      </c>
      <c r="M268" s="191" t="s">
        <v>660</v>
      </c>
    </row>
    <row r="269" spans="2:13" x14ac:dyDescent="0.2">
      <c r="B269" s="189">
        <v>45869</v>
      </c>
      <c r="C269" s="77">
        <v>3347.3</v>
      </c>
      <c r="L269" s="190">
        <v>45868</v>
      </c>
      <c r="M269" s="191" t="s">
        <v>661</v>
      </c>
    </row>
    <row r="270" spans="2:13" x14ac:dyDescent="0.2">
      <c r="B270" s="189">
        <v>45868</v>
      </c>
      <c r="C270" s="77">
        <v>3376.5</v>
      </c>
      <c r="L270" s="190">
        <v>45867</v>
      </c>
      <c r="M270" s="191" t="s">
        <v>662</v>
      </c>
    </row>
    <row r="271" spans="2:13" x14ac:dyDescent="0.2">
      <c r="B271" s="189">
        <v>45867</v>
      </c>
      <c r="C271" s="77">
        <v>3379.2</v>
      </c>
      <c r="L271" s="190">
        <v>45866</v>
      </c>
      <c r="M271" s="191" t="s">
        <v>663</v>
      </c>
    </row>
    <row r="272" spans="2:13" x14ac:dyDescent="0.2">
      <c r="B272" s="189">
        <v>45866</v>
      </c>
      <c r="C272" s="77">
        <v>3393</v>
      </c>
      <c r="L272" s="190">
        <v>45863</v>
      </c>
      <c r="M272" s="191" t="s">
        <v>664</v>
      </c>
    </row>
    <row r="273" spans="2:13" x14ac:dyDescent="0.2">
      <c r="B273" s="189">
        <v>45863</v>
      </c>
      <c r="C273" s="77">
        <v>3462.8</v>
      </c>
      <c r="L273" s="190">
        <v>45862</v>
      </c>
      <c r="M273" s="191" t="s">
        <v>665</v>
      </c>
    </row>
    <row r="274" spans="2:13" x14ac:dyDescent="0.2">
      <c r="B274" s="189">
        <v>45862</v>
      </c>
      <c r="C274" s="77">
        <v>3484.4</v>
      </c>
      <c r="L274" s="190">
        <v>45861</v>
      </c>
      <c r="M274" s="191" t="s">
        <v>666</v>
      </c>
    </row>
    <row r="275" spans="2:13" x14ac:dyDescent="0.2">
      <c r="B275" s="189">
        <v>45861</v>
      </c>
      <c r="C275" s="77">
        <v>3471.4</v>
      </c>
      <c r="L275" s="190">
        <v>45860</v>
      </c>
      <c r="M275" s="191" t="s">
        <v>667</v>
      </c>
    </row>
    <row r="276" spans="2:13" x14ac:dyDescent="0.2">
      <c r="B276" s="189">
        <v>45860</v>
      </c>
      <c r="C276" s="77">
        <v>3472.4</v>
      </c>
      <c r="L276" s="190">
        <v>45859</v>
      </c>
      <c r="M276" s="191" t="s">
        <v>668</v>
      </c>
    </row>
    <row r="277" spans="2:13" x14ac:dyDescent="0.2">
      <c r="B277" s="189">
        <v>45859</v>
      </c>
      <c r="C277" s="77">
        <v>3433</v>
      </c>
      <c r="L277" s="190">
        <v>45856</v>
      </c>
      <c r="M277" s="191" t="s">
        <v>669</v>
      </c>
    </row>
    <row r="278" spans="2:13" x14ac:dyDescent="0.2">
      <c r="B278" s="189">
        <v>45856</v>
      </c>
      <c r="C278" s="77">
        <v>3402.9</v>
      </c>
      <c r="L278" s="190">
        <v>45855</v>
      </c>
      <c r="M278" s="191" t="s">
        <v>670</v>
      </c>
    </row>
    <row r="279" spans="2:13" x14ac:dyDescent="0.2">
      <c r="B279" s="189">
        <v>45855</v>
      </c>
      <c r="C279" s="77">
        <v>3433.3</v>
      </c>
      <c r="L279" s="190">
        <v>45854</v>
      </c>
      <c r="M279" s="191" t="s">
        <v>671</v>
      </c>
    </row>
    <row r="280" spans="2:13" x14ac:dyDescent="0.2">
      <c r="B280" s="189">
        <v>45854</v>
      </c>
      <c r="C280" s="77">
        <v>3417.3</v>
      </c>
      <c r="L280" s="190">
        <v>45853</v>
      </c>
      <c r="M280" s="191" t="s">
        <v>672</v>
      </c>
    </row>
    <row r="281" spans="2:13" x14ac:dyDescent="0.2">
      <c r="B281" s="189">
        <v>45853</v>
      </c>
      <c r="C281" s="77">
        <v>3415</v>
      </c>
      <c r="L281" s="190">
        <v>45852</v>
      </c>
      <c r="M281" s="191" t="s">
        <v>673</v>
      </c>
    </row>
    <row r="282" spans="2:13" x14ac:dyDescent="0.2">
      <c r="B282" s="189">
        <v>45852</v>
      </c>
      <c r="C282" s="77">
        <v>3404.7</v>
      </c>
      <c r="L282" s="190">
        <v>45849</v>
      </c>
      <c r="M282" s="191" t="s">
        <v>674</v>
      </c>
    </row>
    <row r="283" spans="2:13" x14ac:dyDescent="0.2">
      <c r="B283" s="189">
        <v>45849</v>
      </c>
      <c r="C283" s="77">
        <v>3361.6</v>
      </c>
      <c r="L283" s="190">
        <v>45848</v>
      </c>
      <c r="M283" s="191" t="s">
        <v>675</v>
      </c>
    </row>
    <row r="284" spans="2:13" x14ac:dyDescent="0.2">
      <c r="B284" s="189">
        <v>45848</v>
      </c>
      <c r="C284" s="77">
        <v>3419.8</v>
      </c>
      <c r="L284" s="190">
        <v>45847</v>
      </c>
      <c r="M284" s="191" t="s">
        <v>676</v>
      </c>
    </row>
    <row r="285" spans="2:13" x14ac:dyDescent="0.2">
      <c r="B285" s="189">
        <v>45847</v>
      </c>
      <c r="C285" s="77">
        <v>3432.1</v>
      </c>
      <c r="L285" s="190">
        <v>45846</v>
      </c>
      <c r="M285" s="191" t="s">
        <v>677</v>
      </c>
    </row>
    <row r="286" spans="2:13" x14ac:dyDescent="0.2">
      <c r="B286" s="189">
        <v>45846</v>
      </c>
      <c r="C286" s="77">
        <v>3441.3</v>
      </c>
      <c r="L286" s="190">
        <v>45845</v>
      </c>
      <c r="M286" s="191" t="s">
        <v>678</v>
      </c>
    </row>
    <row r="287" spans="2:13" x14ac:dyDescent="0.2">
      <c r="B287" s="189">
        <v>45845</v>
      </c>
      <c r="C287" s="77">
        <v>3666.1</v>
      </c>
      <c r="L287" s="190">
        <v>45842</v>
      </c>
      <c r="M287" s="191" t="s">
        <v>679</v>
      </c>
    </row>
    <row r="288" spans="2:13" x14ac:dyDescent="0.2">
      <c r="B288" s="189">
        <v>45842</v>
      </c>
      <c r="C288" s="77">
        <v>3686.9</v>
      </c>
      <c r="L288" s="190">
        <v>45841</v>
      </c>
      <c r="M288" s="191" t="s">
        <v>680</v>
      </c>
    </row>
    <row r="289" spans="2:13" x14ac:dyDescent="0.2">
      <c r="B289" s="189">
        <v>45841</v>
      </c>
      <c r="C289" s="77">
        <v>3678.7</v>
      </c>
      <c r="L289" s="190">
        <v>45840</v>
      </c>
      <c r="M289" s="191" t="s">
        <v>681</v>
      </c>
    </row>
    <row r="290" spans="2:13" x14ac:dyDescent="0.2">
      <c r="B290" s="189">
        <v>45840</v>
      </c>
      <c r="C290" s="77">
        <v>3708</v>
      </c>
      <c r="L290" s="190">
        <v>45839</v>
      </c>
      <c r="M290" s="191" t="s">
        <v>682</v>
      </c>
    </row>
    <row r="291" spans="2:13" x14ac:dyDescent="0.2">
      <c r="B291" s="189">
        <v>45839</v>
      </c>
      <c r="C291" s="77">
        <v>3700.5</v>
      </c>
      <c r="L291" s="190">
        <v>45838</v>
      </c>
      <c r="M291" s="191" t="s">
        <v>683</v>
      </c>
    </row>
    <row r="292" spans="2:13" x14ac:dyDescent="0.2">
      <c r="B292" s="189">
        <v>45838</v>
      </c>
      <c r="C292" s="77">
        <v>3690.2</v>
      </c>
      <c r="L292" s="190">
        <v>45835</v>
      </c>
      <c r="M292" s="191" t="s">
        <v>684</v>
      </c>
    </row>
    <row r="293" spans="2:13" x14ac:dyDescent="0.2">
      <c r="B293" s="189">
        <v>45835</v>
      </c>
      <c r="C293" s="77">
        <v>3666.2</v>
      </c>
      <c r="L293" s="190">
        <v>45834</v>
      </c>
      <c r="M293" s="191" t="s">
        <v>611</v>
      </c>
    </row>
    <row r="294" spans="2:13" x14ac:dyDescent="0.2">
      <c r="B294" s="189">
        <v>45834</v>
      </c>
      <c r="C294" s="77">
        <v>3694.7</v>
      </c>
      <c r="L294" s="190">
        <v>45833</v>
      </c>
      <c r="M294" s="191" t="s">
        <v>685</v>
      </c>
    </row>
    <row r="295" spans="2:13" x14ac:dyDescent="0.2">
      <c r="B295" s="189">
        <v>45833</v>
      </c>
      <c r="C295" s="77">
        <v>3652.2</v>
      </c>
      <c r="L295" s="190">
        <v>45832</v>
      </c>
      <c r="M295" s="191" t="s">
        <v>686</v>
      </c>
    </row>
    <row r="296" spans="2:13" x14ac:dyDescent="0.2">
      <c r="B296" s="189">
        <v>45832</v>
      </c>
      <c r="C296" s="77">
        <v>3526</v>
      </c>
      <c r="L296" s="190">
        <v>45831</v>
      </c>
      <c r="M296" s="191" t="s">
        <v>687</v>
      </c>
    </row>
    <row r="297" spans="2:13" x14ac:dyDescent="0.2">
      <c r="B297" s="189">
        <v>45831</v>
      </c>
      <c r="C297" s="77">
        <v>3505.7</v>
      </c>
      <c r="L297" s="190">
        <v>45828</v>
      </c>
      <c r="M297" s="191" t="s">
        <v>688</v>
      </c>
    </row>
    <row r="298" spans="2:13" x14ac:dyDescent="0.2">
      <c r="B298" s="189">
        <v>45828</v>
      </c>
      <c r="C298" s="77">
        <v>3519</v>
      </c>
      <c r="L298" s="190">
        <v>45827</v>
      </c>
      <c r="M298" s="191" t="s">
        <v>522</v>
      </c>
    </row>
    <row r="299" spans="2:13" x14ac:dyDescent="0.2">
      <c r="B299" s="189">
        <v>45827</v>
      </c>
      <c r="C299" s="77">
        <v>3505.4</v>
      </c>
      <c r="L299" s="190">
        <v>45826</v>
      </c>
      <c r="M299" s="191" t="s">
        <v>689</v>
      </c>
    </row>
    <row r="300" spans="2:13" x14ac:dyDescent="0.2">
      <c r="B300" s="189">
        <v>45826</v>
      </c>
      <c r="C300" s="77">
        <v>3467.8</v>
      </c>
      <c r="L300" s="190">
        <v>45825</v>
      </c>
      <c r="M300" s="191" t="s">
        <v>438</v>
      </c>
    </row>
    <row r="301" spans="2:13" x14ac:dyDescent="0.2">
      <c r="B301" s="189">
        <v>45825</v>
      </c>
      <c r="C301" s="77">
        <v>3405.7</v>
      </c>
      <c r="L301" s="190">
        <v>45824</v>
      </c>
      <c r="M301" s="191" t="s">
        <v>690</v>
      </c>
    </row>
    <row r="302" spans="2:13" x14ac:dyDescent="0.2">
      <c r="B302" s="189">
        <v>45824</v>
      </c>
      <c r="C302" s="77">
        <v>3438.1</v>
      </c>
      <c r="L302" s="190">
        <v>45821</v>
      </c>
      <c r="M302" s="191" t="s">
        <v>691</v>
      </c>
    </row>
    <row r="303" spans="2:13" x14ac:dyDescent="0.2">
      <c r="B303" s="189">
        <v>45821</v>
      </c>
      <c r="C303" s="77">
        <v>3421.9</v>
      </c>
      <c r="L303" s="190">
        <v>45820</v>
      </c>
      <c r="M303" s="191" t="s">
        <v>692</v>
      </c>
    </row>
    <row r="304" spans="2:13" x14ac:dyDescent="0.2">
      <c r="B304" s="189">
        <v>45820</v>
      </c>
      <c r="C304" s="77">
        <v>3452.7</v>
      </c>
      <c r="L304" s="190">
        <v>45819</v>
      </c>
      <c r="M304" s="191" t="s">
        <v>693</v>
      </c>
    </row>
    <row r="305" spans="2:13" x14ac:dyDescent="0.2">
      <c r="B305" s="189">
        <v>45819</v>
      </c>
      <c r="C305" s="77">
        <v>3541.6</v>
      </c>
      <c r="L305" s="190">
        <v>45818</v>
      </c>
      <c r="M305" s="191" t="s">
        <v>694</v>
      </c>
    </row>
    <row r="306" spans="2:13" x14ac:dyDescent="0.2">
      <c r="B306" s="189">
        <v>45818</v>
      </c>
      <c r="C306" s="77">
        <v>3524.2</v>
      </c>
      <c r="L306" s="190">
        <v>45817</v>
      </c>
      <c r="M306" s="191" t="s">
        <v>695</v>
      </c>
    </row>
    <row r="307" spans="2:13" x14ac:dyDescent="0.2">
      <c r="B307" s="189">
        <v>45817</v>
      </c>
      <c r="C307" s="77">
        <v>3533.9</v>
      </c>
      <c r="L307" s="190">
        <v>45814</v>
      </c>
      <c r="M307" s="191" t="s">
        <v>696</v>
      </c>
    </row>
    <row r="308" spans="2:13" x14ac:dyDescent="0.2">
      <c r="B308" s="189">
        <v>45814</v>
      </c>
      <c r="C308" s="77">
        <v>3559.9</v>
      </c>
      <c r="L308" s="190">
        <v>45813</v>
      </c>
      <c r="M308" s="191" t="s">
        <v>697</v>
      </c>
    </row>
    <row r="309" spans="2:13" x14ac:dyDescent="0.2">
      <c r="B309" s="189">
        <v>45813</v>
      </c>
      <c r="C309" s="77">
        <v>3504</v>
      </c>
      <c r="L309" s="190">
        <v>45812</v>
      </c>
      <c r="M309" s="191" t="s">
        <v>698</v>
      </c>
    </row>
    <row r="310" spans="2:13" x14ac:dyDescent="0.2">
      <c r="B310" s="189">
        <v>45812</v>
      </c>
      <c r="C310" s="77">
        <v>3499.8</v>
      </c>
      <c r="L310" s="190">
        <v>45811</v>
      </c>
      <c r="M310" s="191" t="s">
        <v>699</v>
      </c>
    </row>
    <row r="311" spans="2:13" x14ac:dyDescent="0.2">
      <c r="B311" s="189">
        <v>45811</v>
      </c>
      <c r="C311" s="77">
        <v>3519.8</v>
      </c>
      <c r="L311" s="190">
        <v>45810</v>
      </c>
      <c r="M311" s="191" t="s">
        <v>700</v>
      </c>
    </row>
    <row r="312" spans="2:13" x14ac:dyDescent="0.2">
      <c r="B312" s="189">
        <v>45810</v>
      </c>
      <c r="C312" s="77">
        <v>3525.5</v>
      </c>
      <c r="L312" s="190">
        <v>45807</v>
      </c>
      <c r="M312" s="191" t="s">
        <v>701</v>
      </c>
    </row>
    <row r="313" spans="2:13" x14ac:dyDescent="0.2">
      <c r="B313" s="189">
        <v>45807</v>
      </c>
      <c r="C313" s="77">
        <v>3555</v>
      </c>
      <c r="L313" s="190">
        <v>45806</v>
      </c>
      <c r="M313" s="191" t="s">
        <v>702</v>
      </c>
    </row>
    <row r="314" spans="2:13" x14ac:dyDescent="0.2">
      <c r="B314" s="189">
        <v>45806</v>
      </c>
      <c r="C314" s="77">
        <v>3588.3</v>
      </c>
      <c r="L314" s="190">
        <v>45805</v>
      </c>
      <c r="M314" s="191" t="s">
        <v>703</v>
      </c>
    </row>
    <row r="315" spans="2:13" x14ac:dyDescent="0.2">
      <c r="B315" s="189">
        <v>45805</v>
      </c>
      <c r="C315" s="77">
        <v>3574.7</v>
      </c>
      <c r="L315" s="190">
        <v>45804</v>
      </c>
      <c r="M315" s="191" t="s">
        <v>522</v>
      </c>
    </row>
    <row r="316" spans="2:13" x14ac:dyDescent="0.2">
      <c r="B316" s="189">
        <v>45804</v>
      </c>
      <c r="C316" s="77">
        <v>3589.4</v>
      </c>
      <c r="L316" s="190">
        <v>45803</v>
      </c>
      <c r="M316" s="191" t="s">
        <v>704</v>
      </c>
    </row>
    <row r="317" spans="2:13" x14ac:dyDescent="0.2">
      <c r="B317" s="189">
        <v>45803</v>
      </c>
      <c r="C317" s="77">
        <v>3610.3</v>
      </c>
      <c r="L317" s="190">
        <v>45800</v>
      </c>
      <c r="M317" s="191" t="s">
        <v>705</v>
      </c>
    </row>
    <row r="318" spans="2:13" x14ac:dyDescent="0.2">
      <c r="B318" s="189">
        <v>45800</v>
      </c>
      <c r="C318" s="77">
        <v>3579.7</v>
      </c>
      <c r="L318" s="190">
        <v>45799</v>
      </c>
      <c r="M318" s="191" t="s">
        <v>706</v>
      </c>
    </row>
    <row r="319" spans="2:13" x14ac:dyDescent="0.2">
      <c r="B319" s="189">
        <v>45799</v>
      </c>
      <c r="C319" s="77">
        <v>3541</v>
      </c>
      <c r="L319" s="190">
        <v>45798</v>
      </c>
      <c r="M319" s="191" t="s">
        <v>707</v>
      </c>
    </row>
    <row r="320" spans="2:13" x14ac:dyDescent="0.2">
      <c r="B320" s="189">
        <v>45798</v>
      </c>
      <c r="C320" s="77">
        <v>3580.5</v>
      </c>
      <c r="L320" s="190">
        <v>45797</v>
      </c>
      <c r="M320" s="191" t="s">
        <v>708</v>
      </c>
    </row>
    <row r="321" spans="2:13" x14ac:dyDescent="0.2">
      <c r="B321" s="189">
        <v>45797</v>
      </c>
      <c r="C321" s="77">
        <v>3580.6</v>
      </c>
      <c r="L321" s="190">
        <v>45796</v>
      </c>
      <c r="M321" s="191" t="s">
        <v>709</v>
      </c>
    </row>
    <row r="322" spans="2:13" x14ac:dyDescent="0.2">
      <c r="B322" s="189">
        <v>45796</v>
      </c>
      <c r="C322" s="77">
        <v>3617.7</v>
      </c>
      <c r="L322" s="190">
        <v>45793</v>
      </c>
      <c r="M322" s="191" t="s">
        <v>710</v>
      </c>
    </row>
    <row r="323" spans="2:13" x14ac:dyDescent="0.2">
      <c r="B323" s="189">
        <v>45793</v>
      </c>
      <c r="C323" s="77">
        <v>3633.7</v>
      </c>
      <c r="L323" s="190">
        <v>45792</v>
      </c>
      <c r="M323" s="191" t="s">
        <v>711</v>
      </c>
    </row>
    <row r="324" spans="2:13" x14ac:dyDescent="0.2">
      <c r="B324" s="189">
        <v>45792</v>
      </c>
      <c r="C324" s="77">
        <v>3636.8</v>
      </c>
      <c r="L324" s="190">
        <v>45791</v>
      </c>
      <c r="M324" s="191" t="s">
        <v>712</v>
      </c>
    </row>
    <row r="325" spans="2:13" x14ac:dyDescent="0.2">
      <c r="B325" s="189">
        <v>45791</v>
      </c>
      <c r="C325" s="77">
        <v>3587.6</v>
      </c>
      <c r="L325" s="190">
        <v>45790</v>
      </c>
      <c r="M325" s="191" t="s">
        <v>713</v>
      </c>
    </row>
    <row r="326" spans="2:13" x14ac:dyDescent="0.2">
      <c r="B326" s="189">
        <v>45790</v>
      </c>
      <c r="C326" s="77">
        <v>3563.2</v>
      </c>
      <c r="L326" s="190">
        <v>45789</v>
      </c>
      <c r="M326" s="191" t="s">
        <v>714</v>
      </c>
    </row>
    <row r="327" spans="2:13" x14ac:dyDescent="0.2">
      <c r="B327" s="189">
        <v>45789</v>
      </c>
      <c r="C327" s="77">
        <v>3562.9</v>
      </c>
      <c r="L327" s="190">
        <v>45786</v>
      </c>
      <c r="M327" s="191" t="s">
        <v>715</v>
      </c>
    </row>
    <row r="328" spans="2:13" x14ac:dyDescent="0.2">
      <c r="B328" s="189">
        <v>45786</v>
      </c>
      <c r="C328" s="77">
        <v>3510.3</v>
      </c>
      <c r="L328" s="190">
        <v>45785</v>
      </c>
      <c r="M328" s="191" t="s">
        <v>716</v>
      </c>
    </row>
    <row r="329" spans="2:13" x14ac:dyDescent="0.2">
      <c r="B329" s="189">
        <v>45785</v>
      </c>
      <c r="C329" s="77">
        <v>3369.3</v>
      </c>
      <c r="L329" s="190">
        <v>45784</v>
      </c>
      <c r="M329" s="191" t="s">
        <v>455</v>
      </c>
    </row>
    <row r="330" spans="2:13" x14ac:dyDescent="0.2">
      <c r="B330" s="189">
        <v>45784</v>
      </c>
      <c r="C330" s="77">
        <v>3338.9</v>
      </c>
      <c r="L330" s="190">
        <v>45783</v>
      </c>
      <c r="M330" s="191" t="s">
        <v>717</v>
      </c>
    </row>
    <row r="331" spans="2:13" x14ac:dyDescent="0.2">
      <c r="B331" s="189">
        <v>45783</v>
      </c>
      <c r="C331" s="77">
        <v>3299.3</v>
      </c>
      <c r="L331" s="190">
        <v>45782</v>
      </c>
      <c r="M331" s="191" t="s">
        <v>718</v>
      </c>
    </row>
    <row r="332" spans="2:13" x14ac:dyDescent="0.2">
      <c r="B332" s="189">
        <v>45782</v>
      </c>
      <c r="C332" s="77">
        <v>3321.8</v>
      </c>
      <c r="L332" s="190">
        <v>45779</v>
      </c>
      <c r="M332" s="191" t="s">
        <v>719</v>
      </c>
    </row>
    <row r="333" spans="2:13" x14ac:dyDescent="0.2">
      <c r="B333" s="189">
        <v>45779</v>
      </c>
      <c r="C333" s="77">
        <v>3341</v>
      </c>
      <c r="L333" s="190">
        <v>45777</v>
      </c>
      <c r="M333" s="191" t="s">
        <v>720</v>
      </c>
    </row>
    <row r="334" spans="2:13" x14ac:dyDescent="0.2">
      <c r="B334" s="189">
        <v>45777</v>
      </c>
      <c r="C334" s="77">
        <v>3379.7</v>
      </c>
      <c r="L334" s="190">
        <v>45776</v>
      </c>
      <c r="M334" s="191" t="s">
        <v>721</v>
      </c>
    </row>
    <row r="335" spans="2:13" x14ac:dyDescent="0.2">
      <c r="B335" s="189">
        <v>45776</v>
      </c>
      <c r="C335" s="77">
        <v>3378.6</v>
      </c>
      <c r="L335" s="190">
        <v>45775</v>
      </c>
      <c r="M335" s="191" t="s">
        <v>722</v>
      </c>
    </row>
    <row r="336" spans="2:13" x14ac:dyDescent="0.2">
      <c r="B336" s="189">
        <v>45775</v>
      </c>
      <c r="C336" s="77">
        <v>3369.1</v>
      </c>
      <c r="L336" s="190">
        <v>45772</v>
      </c>
      <c r="M336" s="191" t="s">
        <v>723</v>
      </c>
    </row>
    <row r="337" spans="2:13" x14ac:dyDescent="0.2">
      <c r="B337" s="189">
        <v>45772</v>
      </c>
      <c r="C337" s="77">
        <v>3365.2</v>
      </c>
      <c r="L337" s="190">
        <v>45771</v>
      </c>
      <c r="M337" s="191" t="s">
        <v>724</v>
      </c>
    </row>
    <row r="338" spans="2:13" x14ac:dyDescent="0.2">
      <c r="B338" s="189">
        <v>45771</v>
      </c>
      <c r="C338" s="77">
        <v>3382.6</v>
      </c>
      <c r="L338" s="190">
        <v>45770</v>
      </c>
      <c r="M338" s="191" t="s">
        <v>725</v>
      </c>
    </row>
    <row r="339" spans="2:13" x14ac:dyDescent="0.2">
      <c r="B339" s="189">
        <v>45770</v>
      </c>
      <c r="C339" s="77">
        <v>3357.3</v>
      </c>
      <c r="L339" s="190">
        <v>45769</v>
      </c>
      <c r="M339" s="191" t="s">
        <v>726</v>
      </c>
    </row>
    <row r="340" spans="2:13" x14ac:dyDescent="0.2">
      <c r="B340" s="189">
        <v>45769</v>
      </c>
      <c r="C340" s="77">
        <v>3337.4</v>
      </c>
      <c r="L340" s="190">
        <v>45768</v>
      </c>
      <c r="M340" s="191" t="s">
        <v>727</v>
      </c>
    </row>
    <row r="341" spans="2:13" x14ac:dyDescent="0.2">
      <c r="B341" s="189">
        <v>45768</v>
      </c>
      <c r="C341" s="77">
        <v>3336.1</v>
      </c>
      <c r="L341" s="190">
        <v>45764</v>
      </c>
      <c r="M341" s="191" t="s">
        <v>470</v>
      </c>
    </row>
    <row r="342" spans="2:13" x14ac:dyDescent="0.2">
      <c r="B342" s="189">
        <v>45764</v>
      </c>
      <c r="C342" s="77">
        <v>3327.5</v>
      </c>
      <c r="L342" s="190">
        <v>45763</v>
      </c>
      <c r="M342" s="191" t="s">
        <v>728</v>
      </c>
    </row>
    <row r="343" spans="2:13" x14ac:dyDescent="0.2">
      <c r="B343" s="189">
        <v>45763</v>
      </c>
      <c r="C343" s="77">
        <v>3272.1</v>
      </c>
      <c r="L343" s="190">
        <v>45762</v>
      </c>
      <c r="M343" s="191" t="s">
        <v>471</v>
      </c>
    </row>
    <row r="344" spans="2:13" x14ac:dyDescent="0.2">
      <c r="B344" s="189">
        <v>45762</v>
      </c>
      <c r="C344" s="77">
        <v>3273.4</v>
      </c>
      <c r="L344" s="190">
        <v>45758</v>
      </c>
      <c r="M344" s="191" t="s">
        <v>729</v>
      </c>
    </row>
    <row r="345" spans="2:13" x14ac:dyDescent="0.2">
      <c r="B345" s="189">
        <v>45758</v>
      </c>
      <c r="C345" s="77">
        <v>3234.9</v>
      </c>
      <c r="L345" s="190">
        <v>45756</v>
      </c>
      <c r="M345" s="191" t="s">
        <v>730</v>
      </c>
    </row>
    <row r="346" spans="2:13" x14ac:dyDescent="0.2">
      <c r="B346" s="189">
        <v>45756</v>
      </c>
      <c r="C346" s="77">
        <v>3174.15</v>
      </c>
      <c r="L346" s="190">
        <v>45755</v>
      </c>
      <c r="M346" s="191" t="s">
        <v>731</v>
      </c>
    </row>
    <row r="347" spans="2:13" x14ac:dyDescent="0.2">
      <c r="B347" s="189">
        <v>45755</v>
      </c>
      <c r="C347" s="77">
        <v>3122.3</v>
      </c>
      <c r="L347" s="190">
        <v>45754</v>
      </c>
      <c r="M347" s="191" t="s">
        <v>495</v>
      </c>
    </row>
    <row r="348" spans="2:13" x14ac:dyDescent="0.2">
      <c r="B348" s="189">
        <v>45754</v>
      </c>
      <c r="C348" s="77">
        <v>3022.2</v>
      </c>
      <c r="L348" s="190">
        <v>45751</v>
      </c>
      <c r="M348" s="191" t="s">
        <v>732</v>
      </c>
    </row>
    <row r="349" spans="2:13" x14ac:dyDescent="0.2">
      <c r="B349" s="189">
        <v>45751</v>
      </c>
      <c r="C349" s="77">
        <v>3076.2</v>
      </c>
      <c r="L349" s="190">
        <v>45750</v>
      </c>
      <c r="M349" s="191" t="s">
        <v>471</v>
      </c>
    </row>
    <row r="350" spans="2:13" x14ac:dyDescent="0.2">
      <c r="B350" s="189">
        <v>45750</v>
      </c>
      <c r="C350" s="77">
        <v>3127.55</v>
      </c>
      <c r="L350" s="190">
        <v>45749</v>
      </c>
      <c r="M350" s="191" t="s">
        <v>733</v>
      </c>
    </row>
    <row r="351" spans="2:13" x14ac:dyDescent="0.2">
      <c r="B351" s="189">
        <v>45749</v>
      </c>
      <c r="C351" s="77">
        <v>3098.45</v>
      </c>
      <c r="L351" s="190">
        <v>45748</v>
      </c>
      <c r="M351" s="191" t="s">
        <v>527</v>
      </c>
    </row>
    <row r="352" spans="2:13" x14ac:dyDescent="0.2">
      <c r="B352" s="189">
        <v>45748</v>
      </c>
      <c r="C352" s="77">
        <v>2986.95</v>
      </c>
      <c r="L352" s="190">
        <v>45744</v>
      </c>
      <c r="M352" s="191" t="s">
        <v>734</v>
      </c>
    </row>
    <row r="353" spans="2:13" x14ac:dyDescent="0.2">
      <c r="B353" s="189">
        <v>45744</v>
      </c>
      <c r="C353" s="77">
        <v>3063.35</v>
      </c>
      <c r="L353" s="190">
        <v>45743</v>
      </c>
      <c r="M353" s="191" t="s">
        <v>735</v>
      </c>
    </row>
    <row r="354" spans="2:13" x14ac:dyDescent="0.2">
      <c r="B354" s="189">
        <v>45743</v>
      </c>
      <c r="C354" s="77">
        <v>3087.65</v>
      </c>
      <c r="L354" s="190">
        <v>45742</v>
      </c>
      <c r="M354" s="191" t="s">
        <v>525</v>
      </c>
    </row>
    <row r="355" spans="2:13" x14ac:dyDescent="0.2">
      <c r="B355" s="189">
        <v>45742</v>
      </c>
      <c r="C355" s="77">
        <v>3057.5</v>
      </c>
      <c r="L355" s="190">
        <v>45741</v>
      </c>
      <c r="M355" s="191" t="s">
        <v>433</v>
      </c>
    </row>
    <row r="356" spans="2:13" x14ac:dyDescent="0.2">
      <c r="B356" s="189">
        <v>45741</v>
      </c>
      <c r="C356" s="77">
        <v>3053.7</v>
      </c>
      <c r="L356" s="190">
        <v>45740</v>
      </c>
      <c r="M356" s="191" t="s">
        <v>608</v>
      </c>
    </row>
    <row r="357" spans="2:13" x14ac:dyDescent="0.2">
      <c r="B357" s="189">
        <v>45740</v>
      </c>
      <c r="C357" s="77">
        <v>3079.1</v>
      </c>
      <c r="L357" s="190">
        <v>45737</v>
      </c>
      <c r="M357" s="191" t="s">
        <v>436</v>
      </c>
    </row>
    <row r="358" spans="2:13" x14ac:dyDescent="0.2">
      <c r="B358" s="189">
        <v>45737</v>
      </c>
      <c r="C358" s="77">
        <v>3162.7</v>
      </c>
      <c r="L358" s="190">
        <v>45736</v>
      </c>
      <c r="M358" s="191" t="s">
        <v>736</v>
      </c>
    </row>
    <row r="359" spans="2:13" x14ac:dyDescent="0.2">
      <c r="B359" s="189">
        <v>45736</v>
      </c>
      <c r="C359" s="77">
        <v>3193.1</v>
      </c>
      <c r="L359" s="190">
        <v>45735</v>
      </c>
      <c r="M359" s="191" t="s">
        <v>737</v>
      </c>
    </row>
    <row r="360" spans="2:13" x14ac:dyDescent="0.2">
      <c r="B360" s="189">
        <v>45735</v>
      </c>
      <c r="C360" s="77">
        <v>3076.3</v>
      </c>
      <c r="L360" s="190">
        <v>45734</v>
      </c>
      <c r="M360" s="191" t="s">
        <v>738</v>
      </c>
    </row>
    <row r="361" spans="2:13" x14ac:dyDescent="0.2">
      <c r="B361" s="189">
        <v>45734</v>
      </c>
      <c r="C361" s="77">
        <v>3081.7</v>
      </c>
      <c r="L361" s="190">
        <v>45733</v>
      </c>
      <c r="M361" s="191" t="s">
        <v>739</v>
      </c>
    </row>
    <row r="362" spans="2:13" x14ac:dyDescent="0.2">
      <c r="B362" s="189">
        <v>45733</v>
      </c>
      <c r="C362" s="77">
        <v>3017.35</v>
      </c>
      <c r="L362" s="190">
        <v>45729</v>
      </c>
      <c r="M362" s="191" t="s">
        <v>740</v>
      </c>
    </row>
    <row r="363" spans="2:13" x14ac:dyDescent="0.2">
      <c r="B363" s="189">
        <v>45729</v>
      </c>
      <c r="C363" s="77">
        <v>3010.15</v>
      </c>
      <c r="L363" s="190">
        <v>45728</v>
      </c>
      <c r="M363" s="191" t="s">
        <v>741</v>
      </c>
    </row>
    <row r="364" spans="2:13" x14ac:dyDescent="0.2">
      <c r="B364" s="189">
        <v>45728</v>
      </c>
      <c r="C364" s="77">
        <v>3018.95</v>
      </c>
      <c r="L364" s="190">
        <v>45727</v>
      </c>
      <c r="M364" s="191" t="s">
        <v>742</v>
      </c>
    </row>
    <row r="365" spans="2:13" x14ac:dyDescent="0.2">
      <c r="B365" s="189">
        <v>45727</v>
      </c>
      <c r="C365" s="77">
        <v>3046.4</v>
      </c>
      <c r="L365" s="190">
        <v>45726</v>
      </c>
      <c r="M365" s="191" t="s">
        <v>743</v>
      </c>
    </row>
    <row r="366" spans="2:13" x14ac:dyDescent="0.2">
      <c r="B366" s="189">
        <v>45726</v>
      </c>
      <c r="C366" s="77">
        <v>3026.8</v>
      </c>
      <c r="L366" s="190">
        <v>45723</v>
      </c>
      <c r="M366" s="191" t="s">
        <v>522</v>
      </c>
    </row>
    <row r="367" spans="2:13" x14ac:dyDescent="0.2">
      <c r="B367" s="189">
        <v>45723</v>
      </c>
      <c r="C367" s="77">
        <v>3079.35</v>
      </c>
      <c r="L367" s="190">
        <v>45722</v>
      </c>
      <c r="M367" s="191" t="s">
        <v>744</v>
      </c>
    </row>
    <row r="368" spans="2:13" x14ac:dyDescent="0.2">
      <c r="B368" s="189">
        <v>45722</v>
      </c>
      <c r="C368" s="77">
        <v>3121.1</v>
      </c>
      <c r="L368" s="190">
        <v>45721</v>
      </c>
      <c r="M368" s="191" t="s">
        <v>745</v>
      </c>
    </row>
    <row r="369" spans="2:13" x14ac:dyDescent="0.2">
      <c r="B369" s="189">
        <v>45721</v>
      </c>
      <c r="C369" s="77">
        <v>3086.55</v>
      </c>
      <c r="L369" s="190">
        <v>45720</v>
      </c>
      <c r="M369" s="191" t="s">
        <v>746</v>
      </c>
    </row>
    <row r="370" spans="2:13" x14ac:dyDescent="0.2">
      <c r="B370" s="189">
        <v>45720</v>
      </c>
      <c r="C370" s="77">
        <v>3048.5</v>
      </c>
      <c r="L370" s="190">
        <v>45719</v>
      </c>
      <c r="M370" s="191" t="s">
        <v>747</v>
      </c>
    </row>
    <row r="371" spans="2:13" x14ac:dyDescent="0.2">
      <c r="B371" s="189">
        <v>45719</v>
      </c>
      <c r="C371" s="77">
        <v>3082</v>
      </c>
      <c r="L371" s="190">
        <v>45716</v>
      </c>
      <c r="M371" s="191" t="s">
        <v>441</v>
      </c>
    </row>
    <row r="372" spans="2:13" x14ac:dyDescent="0.2">
      <c r="B372" s="189">
        <v>45716</v>
      </c>
      <c r="C372" s="77">
        <v>3077.25</v>
      </c>
      <c r="L372" s="190">
        <v>45715</v>
      </c>
      <c r="M372" s="191" t="s">
        <v>748</v>
      </c>
    </row>
    <row r="373" spans="2:13" x14ac:dyDescent="0.2">
      <c r="B373" s="189">
        <v>45715</v>
      </c>
      <c r="C373" s="77">
        <v>3223.1</v>
      </c>
      <c r="L373" s="190">
        <v>45713</v>
      </c>
      <c r="M373" s="191" t="s">
        <v>749</v>
      </c>
    </row>
    <row r="374" spans="2:13" x14ac:dyDescent="0.2">
      <c r="B374" s="189">
        <v>45713</v>
      </c>
      <c r="C374" s="77">
        <v>3198.8</v>
      </c>
      <c r="L374" s="190">
        <v>45712</v>
      </c>
      <c r="M374" s="191" t="s">
        <v>750</v>
      </c>
    </row>
    <row r="375" spans="2:13" x14ac:dyDescent="0.2">
      <c r="B375" s="189">
        <v>45712</v>
      </c>
      <c r="C375" s="77">
        <v>3173</v>
      </c>
      <c r="L375" s="190">
        <v>45709</v>
      </c>
      <c r="M375" s="191" t="s">
        <v>751</v>
      </c>
    </row>
    <row r="376" spans="2:13" x14ac:dyDescent="0.2">
      <c r="B376" s="189">
        <v>45709</v>
      </c>
      <c r="C376" s="77">
        <v>3179.9</v>
      </c>
      <c r="L376" s="190">
        <v>45708</v>
      </c>
      <c r="M376" s="191" t="s">
        <v>752</v>
      </c>
    </row>
    <row r="377" spans="2:13" x14ac:dyDescent="0.2">
      <c r="B377" s="189">
        <v>45708</v>
      </c>
      <c r="C377" s="77">
        <v>3191.45</v>
      </c>
      <c r="L377" s="190">
        <v>45707</v>
      </c>
      <c r="M377" s="191" t="s">
        <v>753</v>
      </c>
    </row>
    <row r="378" spans="2:13" x14ac:dyDescent="0.2">
      <c r="B378" s="189">
        <v>45707</v>
      </c>
      <c r="C378" s="77">
        <v>3210.3</v>
      </c>
      <c r="L378" s="190">
        <v>45706</v>
      </c>
      <c r="M378" s="191" t="s">
        <v>754</v>
      </c>
    </row>
    <row r="379" spans="2:13" x14ac:dyDescent="0.2">
      <c r="B379" s="189">
        <v>45706</v>
      </c>
      <c r="C379" s="77">
        <v>3221.85</v>
      </c>
      <c r="L379" s="190">
        <v>45705</v>
      </c>
      <c r="M379" s="191" t="s">
        <v>755</v>
      </c>
    </row>
    <row r="380" spans="2:13" x14ac:dyDescent="0.2">
      <c r="B380" s="189">
        <v>45705</v>
      </c>
      <c r="C380" s="77">
        <v>3233.2</v>
      </c>
      <c r="L380" s="190">
        <v>45702</v>
      </c>
      <c r="M380" s="191" t="s">
        <v>756</v>
      </c>
    </row>
    <row r="381" spans="2:13" x14ac:dyDescent="0.2">
      <c r="B381" s="189">
        <v>45702</v>
      </c>
      <c r="C381" s="77">
        <v>3213.25</v>
      </c>
      <c r="L381" s="190">
        <v>45701</v>
      </c>
      <c r="M381" s="191" t="s">
        <v>757</v>
      </c>
    </row>
    <row r="382" spans="2:13" x14ac:dyDescent="0.2">
      <c r="B382" s="189">
        <v>45701</v>
      </c>
      <c r="C382" s="77">
        <v>3231.5</v>
      </c>
      <c r="L382" s="190">
        <v>45700</v>
      </c>
      <c r="M382" s="191" t="s">
        <v>758</v>
      </c>
    </row>
    <row r="383" spans="2:13" x14ac:dyDescent="0.2">
      <c r="B383" s="189">
        <v>45700</v>
      </c>
      <c r="C383" s="77">
        <v>3255.45</v>
      </c>
      <c r="L383" s="190">
        <v>45699</v>
      </c>
      <c r="M383" s="191" t="s">
        <v>759</v>
      </c>
    </row>
    <row r="384" spans="2:13" x14ac:dyDescent="0.2">
      <c r="B384" s="189">
        <v>45699</v>
      </c>
      <c r="C384" s="77">
        <v>3281.8</v>
      </c>
      <c r="L384" s="190">
        <v>45698</v>
      </c>
      <c r="M384" s="191" t="s">
        <v>760</v>
      </c>
    </row>
    <row r="385" spans="2:13" x14ac:dyDescent="0.2">
      <c r="B385" s="189">
        <v>45698</v>
      </c>
      <c r="C385" s="77">
        <v>3327.45</v>
      </c>
      <c r="L385" s="190">
        <v>45695</v>
      </c>
      <c r="M385" s="191" t="s">
        <v>761</v>
      </c>
    </row>
    <row r="386" spans="2:13" x14ac:dyDescent="0.2">
      <c r="B386" s="189">
        <v>45695</v>
      </c>
      <c r="C386" s="77">
        <v>3424.8</v>
      </c>
      <c r="L386" s="190">
        <v>45694</v>
      </c>
      <c r="M386" s="191" t="s">
        <v>563</v>
      </c>
    </row>
    <row r="387" spans="2:13" x14ac:dyDescent="0.2">
      <c r="B387" s="189">
        <v>45694</v>
      </c>
      <c r="C387" s="77">
        <v>3410.75</v>
      </c>
      <c r="L387" s="190">
        <v>45693</v>
      </c>
      <c r="M387" s="191" t="s">
        <v>762</v>
      </c>
    </row>
    <row r="388" spans="2:13" x14ac:dyDescent="0.2">
      <c r="B388" s="189">
        <v>45693</v>
      </c>
      <c r="C388" s="77">
        <v>3490.9</v>
      </c>
      <c r="L388" s="190">
        <v>45692</v>
      </c>
      <c r="M388" s="191" t="s">
        <v>434</v>
      </c>
    </row>
    <row r="389" spans="2:13" x14ac:dyDescent="0.2">
      <c r="B389" s="189">
        <v>45692</v>
      </c>
      <c r="C389" s="77">
        <v>3597.7</v>
      </c>
      <c r="L389" s="190">
        <v>45691</v>
      </c>
      <c r="M389" s="191" t="s">
        <v>736</v>
      </c>
    </row>
    <row r="390" spans="2:13" x14ac:dyDescent="0.2">
      <c r="B390" s="189">
        <v>45691</v>
      </c>
      <c r="C390" s="77">
        <v>3580.3</v>
      </c>
      <c r="L390" s="190">
        <v>45689</v>
      </c>
      <c r="M390" s="191" t="s">
        <v>763</v>
      </c>
    </row>
    <row r="391" spans="2:13" x14ac:dyDescent="0.2">
      <c r="B391" s="189">
        <v>45689</v>
      </c>
      <c r="C391" s="77">
        <v>3552</v>
      </c>
      <c r="L391" s="190">
        <v>45688</v>
      </c>
      <c r="M391" s="191" t="s">
        <v>764</v>
      </c>
    </row>
    <row r="392" spans="2:13" x14ac:dyDescent="0.2">
      <c r="B392" s="189">
        <v>45688</v>
      </c>
      <c r="C392" s="77">
        <v>3490.25</v>
      </c>
      <c r="L392" s="190">
        <v>45687</v>
      </c>
      <c r="M392" s="191" t="s">
        <v>765</v>
      </c>
    </row>
    <row r="393" spans="2:13" x14ac:dyDescent="0.2">
      <c r="B393" s="189">
        <v>45687</v>
      </c>
      <c r="C393" s="77">
        <v>3368.4</v>
      </c>
      <c r="L393" s="190">
        <v>45686</v>
      </c>
      <c r="M393" s="191" t="s">
        <v>766</v>
      </c>
    </row>
    <row r="394" spans="2:13" x14ac:dyDescent="0.2">
      <c r="B394" s="189">
        <v>45686</v>
      </c>
      <c r="C394" s="77">
        <v>3370.75</v>
      </c>
      <c r="L394" s="190">
        <v>45685</v>
      </c>
      <c r="M394" s="191" t="s">
        <v>767</v>
      </c>
    </row>
    <row r="395" spans="2:13" x14ac:dyDescent="0.2">
      <c r="B395" s="189">
        <v>45685</v>
      </c>
      <c r="C395" s="77">
        <v>3325.9</v>
      </c>
      <c r="L395" s="190">
        <v>45684</v>
      </c>
      <c r="M395" s="191" t="s">
        <v>768</v>
      </c>
    </row>
    <row r="396" spans="2:13" x14ac:dyDescent="0.2">
      <c r="B396" s="189">
        <v>45684</v>
      </c>
      <c r="C396" s="77">
        <v>3319.35</v>
      </c>
      <c r="L396" s="190">
        <v>45681</v>
      </c>
      <c r="M396" s="191" t="s">
        <v>769</v>
      </c>
    </row>
    <row r="397" spans="2:13" x14ac:dyDescent="0.2">
      <c r="B397" s="189">
        <v>45681</v>
      </c>
      <c r="C397" s="77">
        <v>3402.15</v>
      </c>
      <c r="L397" s="190">
        <v>45680</v>
      </c>
      <c r="M397" s="191" t="s">
        <v>770</v>
      </c>
    </row>
    <row r="398" spans="2:13" x14ac:dyDescent="0.2">
      <c r="B398" s="189">
        <v>45680</v>
      </c>
      <c r="C398" s="77">
        <v>3398.55</v>
      </c>
      <c r="L398" s="190">
        <v>45679</v>
      </c>
      <c r="M398" s="191" t="s">
        <v>771</v>
      </c>
    </row>
    <row r="399" spans="2:13" x14ac:dyDescent="0.2">
      <c r="B399" s="189">
        <v>45679</v>
      </c>
      <c r="C399" s="77">
        <v>3356.45</v>
      </c>
      <c r="L399" s="190">
        <v>45678</v>
      </c>
      <c r="M399" s="191" t="s">
        <v>522</v>
      </c>
    </row>
    <row r="400" spans="2:13" x14ac:dyDescent="0.2">
      <c r="B400" s="189">
        <v>45678</v>
      </c>
      <c r="C400" s="77">
        <v>3353.35</v>
      </c>
      <c r="L400" s="190">
        <v>45677</v>
      </c>
      <c r="M400" s="191" t="s">
        <v>772</v>
      </c>
    </row>
    <row r="401" spans="2:13" x14ac:dyDescent="0.2">
      <c r="B401" s="189">
        <v>45677</v>
      </c>
      <c r="C401" s="77">
        <v>3382.25</v>
      </c>
      <c r="L401" s="190">
        <v>45674</v>
      </c>
      <c r="M401" s="191" t="s">
        <v>773</v>
      </c>
    </row>
    <row r="402" spans="2:13" x14ac:dyDescent="0.2">
      <c r="B402" s="189">
        <v>45674</v>
      </c>
      <c r="C402" s="77">
        <v>3357.4</v>
      </c>
      <c r="L402" s="190">
        <v>45673</v>
      </c>
      <c r="M402" s="191" t="s">
        <v>433</v>
      </c>
    </row>
    <row r="403" spans="2:13" x14ac:dyDescent="0.2">
      <c r="B403" s="189">
        <v>45673</v>
      </c>
      <c r="C403" s="77">
        <v>3316.9</v>
      </c>
      <c r="L403" s="190">
        <v>45672</v>
      </c>
      <c r="M403" s="191" t="s">
        <v>433</v>
      </c>
    </row>
    <row r="404" spans="2:13" x14ac:dyDescent="0.2">
      <c r="B404" s="189">
        <v>45672</v>
      </c>
      <c r="C404" s="77">
        <v>3323.5</v>
      </c>
      <c r="L404" s="190">
        <v>45671</v>
      </c>
      <c r="M404" s="191" t="s">
        <v>490</v>
      </c>
    </row>
    <row r="405" spans="2:13" x14ac:dyDescent="0.2">
      <c r="B405" s="189">
        <v>45671</v>
      </c>
      <c r="C405" s="77">
        <v>3322.5</v>
      </c>
      <c r="L405" s="190">
        <v>45670</v>
      </c>
      <c r="M405" s="191" t="s">
        <v>434</v>
      </c>
    </row>
    <row r="406" spans="2:13" x14ac:dyDescent="0.2">
      <c r="B406" s="189">
        <v>45670</v>
      </c>
      <c r="C406" s="77">
        <v>3382.75</v>
      </c>
      <c r="L406" s="190">
        <v>45667</v>
      </c>
      <c r="M406" s="191" t="s">
        <v>774</v>
      </c>
    </row>
    <row r="407" spans="2:13" x14ac:dyDescent="0.2">
      <c r="B407" s="189">
        <v>45667</v>
      </c>
      <c r="C407" s="77">
        <v>3440.25</v>
      </c>
      <c r="L407" s="190">
        <v>45666</v>
      </c>
      <c r="M407" s="191" t="s">
        <v>775</v>
      </c>
    </row>
    <row r="408" spans="2:13" x14ac:dyDescent="0.2">
      <c r="B408" s="189">
        <v>45666</v>
      </c>
      <c r="C408" s="77">
        <v>3487.05</v>
      </c>
      <c r="L408" s="190">
        <v>45665</v>
      </c>
      <c r="M408" s="191" t="s">
        <v>441</v>
      </c>
    </row>
    <row r="409" spans="2:13" x14ac:dyDescent="0.2">
      <c r="B409" s="189">
        <v>45665</v>
      </c>
      <c r="C409" s="77">
        <v>3484.05</v>
      </c>
      <c r="L409" s="190">
        <v>45664</v>
      </c>
      <c r="M409" s="191" t="s">
        <v>776</v>
      </c>
    </row>
    <row r="410" spans="2:13" x14ac:dyDescent="0.2">
      <c r="B410" s="189">
        <v>45664</v>
      </c>
      <c r="C410" s="77">
        <v>3505.1</v>
      </c>
      <c r="L410" s="190">
        <v>45663</v>
      </c>
      <c r="M410" s="191" t="s">
        <v>777</v>
      </c>
    </row>
    <row r="411" spans="2:13" x14ac:dyDescent="0.2">
      <c r="B411" s="189">
        <v>45663</v>
      </c>
      <c r="C411" s="77">
        <v>3470.4</v>
      </c>
      <c r="L411" s="190">
        <v>45660</v>
      </c>
      <c r="M411" s="191" t="s">
        <v>778</v>
      </c>
    </row>
    <row r="412" spans="2:13" x14ac:dyDescent="0.2">
      <c r="B412" s="189">
        <v>45660</v>
      </c>
      <c r="C412" s="77">
        <v>3451.65</v>
      </c>
      <c r="L412" s="190">
        <v>45659</v>
      </c>
      <c r="M412" s="191" t="s">
        <v>534</v>
      </c>
    </row>
    <row r="413" spans="2:13" x14ac:dyDescent="0.2">
      <c r="B413" s="189">
        <v>45659</v>
      </c>
      <c r="C413" s="77">
        <v>3388.95</v>
      </c>
      <c r="L413" s="190">
        <v>45658</v>
      </c>
      <c r="M413" s="191" t="s">
        <v>779</v>
      </c>
    </row>
    <row r="414" spans="2:13" x14ac:dyDescent="0.2">
      <c r="B414" s="189">
        <v>45658</v>
      </c>
      <c r="C414" s="77">
        <v>3253.85</v>
      </c>
      <c r="L414" s="190">
        <v>45657</v>
      </c>
      <c r="M414" s="191" t="s">
        <v>780</v>
      </c>
    </row>
    <row r="415" spans="2:13" x14ac:dyDescent="0.2">
      <c r="B415" s="189">
        <v>45657</v>
      </c>
      <c r="C415" s="77">
        <v>3253.15</v>
      </c>
      <c r="L415" s="190">
        <v>45656</v>
      </c>
      <c r="M415" s="191" t="s">
        <v>781</v>
      </c>
    </row>
    <row r="416" spans="2:13" x14ac:dyDescent="0.2">
      <c r="B416" s="189">
        <v>45656</v>
      </c>
      <c r="C416" s="77">
        <v>3257.35</v>
      </c>
      <c r="L416" s="190">
        <v>45653</v>
      </c>
      <c r="M416" s="191" t="s">
        <v>782</v>
      </c>
    </row>
    <row r="417" spans="2:13" x14ac:dyDescent="0.2">
      <c r="B417" s="189">
        <v>45653</v>
      </c>
      <c r="C417" s="77">
        <v>3309.2</v>
      </c>
      <c r="L417" s="190">
        <v>45652</v>
      </c>
      <c r="M417" s="191" t="s">
        <v>783</v>
      </c>
    </row>
    <row r="418" spans="2:13" x14ac:dyDescent="0.2">
      <c r="B418" s="189">
        <v>45652</v>
      </c>
      <c r="C418" s="77">
        <v>3323.05</v>
      </c>
      <c r="L418" s="190">
        <v>45650</v>
      </c>
      <c r="M418" s="191" t="s">
        <v>784</v>
      </c>
    </row>
    <row r="419" spans="2:13" x14ac:dyDescent="0.2">
      <c r="B419" s="189">
        <v>45650</v>
      </c>
      <c r="C419" s="77">
        <v>3353.4</v>
      </c>
      <c r="L419" s="190">
        <v>45649</v>
      </c>
      <c r="M419" s="191" t="s">
        <v>785</v>
      </c>
    </row>
    <row r="420" spans="2:13" x14ac:dyDescent="0.2">
      <c r="B420" s="189">
        <v>45649</v>
      </c>
      <c r="C420" s="77">
        <v>3396.95</v>
      </c>
      <c r="L420" s="190">
        <v>45646</v>
      </c>
      <c r="M420" s="191" t="s">
        <v>460</v>
      </c>
    </row>
    <row r="421" spans="2:13" x14ac:dyDescent="0.2">
      <c r="B421" s="189">
        <v>45646</v>
      </c>
      <c r="C421" s="77">
        <v>3356.25</v>
      </c>
      <c r="L421" s="190">
        <v>45645</v>
      </c>
      <c r="M421" s="191" t="s">
        <v>786</v>
      </c>
    </row>
    <row r="422" spans="2:13" x14ac:dyDescent="0.2">
      <c r="B422" s="189">
        <v>45645</v>
      </c>
      <c r="C422" s="77">
        <v>3356.85</v>
      </c>
      <c r="L422" s="190">
        <v>45644</v>
      </c>
      <c r="M422" s="191" t="s">
        <v>787</v>
      </c>
    </row>
    <row r="423" spans="2:13" x14ac:dyDescent="0.2">
      <c r="B423" s="189">
        <v>45644</v>
      </c>
      <c r="C423" s="77">
        <v>3401.9</v>
      </c>
      <c r="L423" s="190">
        <v>45643</v>
      </c>
      <c r="M423" s="191" t="s">
        <v>525</v>
      </c>
    </row>
    <row r="424" spans="2:13" x14ac:dyDescent="0.2">
      <c r="B424" s="189">
        <v>45643</v>
      </c>
      <c r="C424" s="77">
        <v>3406.1</v>
      </c>
      <c r="L424" s="190">
        <v>45642</v>
      </c>
      <c r="M424" s="191" t="s">
        <v>520</v>
      </c>
    </row>
    <row r="425" spans="2:13" x14ac:dyDescent="0.2">
      <c r="B425" s="189">
        <v>45642</v>
      </c>
      <c r="C425" s="77">
        <v>3438.2</v>
      </c>
      <c r="L425" s="190">
        <v>45639</v>
      </c>
      <c r="M425" s="191" t="s">
        <v>460</v>
      </c>
    </row>
    <row r="426" spans="2:13" x14ac:dyDescent="0.2">
      <c r="B426" s="189">
        <v>45639</v>
      </c>
      <c r="C426" s="77">
        <v>3508.85</v>
      </c>
      <c r="L426" s="190">
        <v>45638</v>
      </c>
      <c r="M426" s="191" t="s">
        <v>788</v>
      </c>
    </row>
    <row r="427" spans="2:13" x14ac:dyDescent="0.2">
      <c r="B427" s="189">
        <v>45638</v>
      </c>
      <c r="C427" s="77">
        <v>3445.75</v>
      </c>
      <c r="L427" s="190">
        <v>45637</v>
      </c>
      <c r="M427" s="191" t="s">
        <v>789</v>
      </c>
    </row>
    <row r="428" spans="2:13" x14ac:dyDescent="0.2">
      <c r="B428" s="189">
        <v>45637</v>
      </c>
      <c r="C428" s="77">
        <v>3473.1</v>
      </c>
      <c r="L428" s="190">
        <v>45636</v>
      </c>
      <c r="M428" s="191" t="s">
        <v>563</v>
      </c>
    </row>
    <row r="429" spans="2:13" x14ac:dyDescent="0.2">
      <c r="B429" s="189">
        <v>45636</v>
      </c>
      <c r="C429" s="77">
        <v>3475.75</v>
      </c>
      <c r="L429" s="190">
        <v>45635</v>
      </c>
      <c r="M429" s="191" t="s">
        <v>790</v>
      </c>
    </row>
    <row r="430" spans="2:13" x14ac:dyDescent="0.2">
      <c r="B430" s="189">
        <v>45635</v>
      </c>
      <c r="C430" s="77">
        <v>3468.2</v>
      </c>
      <c r="L430" s="190">
        <v>45632</v>
      </c>
      <c r="M430" s="191" t="s">
        <v>434</v>
      </c>
    </row>
    <row r="431" spans="2:13" x14ac:dyDescent="0.2">
      <c r="B431" s="189">
        <v>45632</v>
      </c>
      <c r="C431" s="77">
        <v>3470.1</v>
      </c>
      <c r="L431" s="190">
        <v>45631</v>
      </c>
      <c r="M431" s="191" t="s">
        <v>791</v>
      </c>
    </row>
    <row r="432" spans="2:13" x14ac:dyDescent="0.2">
      <c r="B432" s="189">
        <v>45631</v>
      </c>
      <c r="C432" s="77">
        <v>3441.05</v>
      </c>
      <c r="L432" s="190">
        <v>45630</v>
      </c>
      <c r="M432" s="191" t="s">
        <v>778</v>
      </c>
    </row>
    <row r="433" spans="2:13" x14ac:dyDescent="0.2">
      <c r="B433" s="189">
        <v>45630</v>
      </c>
      <c r="C433" s="77">
        <v>3364.45</v>
      </c>
      <c r="L433" s="190">
        <v>45629</v>
      </c>
      <c r="M433" s="191" t="s">
        <v>792</v>
      </c>
    </row>
    <row r="434" spans="2:13" x14ac:dyDescent="0.2">
      <c r="B434" s="189">
        <v>45629</v>
      </c>
      <c r="C434" s="77">
        <v>3332.75</v>
      </c>
      <c r="L434" s="190">
        <v>45628</v>
      </c>
      <c r="M434" s="191" t="s">
        <v>793</v>
      </c>
    </row>
    <row r="435" spans="2:13" x14ac:dyDescent="0.2">
      <c r="B435" s="189">
        <v>45628</v>
      </c>
      <c r="C435" s="77">
        <v>3306.85</v>
      </c>
      <c r="L435" s="190">
        <v>45625</v>
      </c>
      <c r="M435" s="191" t="s">
        <v>449</v>
      </c>
    </row>
    <row r="436" spans="2:13" x14ac:dyDescent="0.2">
      <c r="B436" s="189">
        <v>45625</v>
      </c>
      <c r="C436" s="77">
        <v>3249</v>
      </c>
      <c r="L436" s="190">
        <v>45624</v>
      </c>
      <c r="M436" s="191" t="s">
        <v>794</v>
      </c>
    </row>
    <row r="437" spans="2:13" x14ac:dyDescent="0.2">
      <c r="B437" s="189">
        <v>45624</v>
      </c>
      <c r="C437" s="77">
        <v>3212.35</v>
      </c>
      <c r="L437" s="190">
        <v>45623</v>
      </c>
      <c r="M437" s="191" t="s">
        <v>795</v>
      </c>
    </row>
    <row r="438" spans="2:13" x14ac:dyDescent="0.2">
      <c r="B438" s="189">
        <v>45623</v>
      </c>
      <c r="C438" s="77">
        <v>3291.65</v>
      </c>
      <c r="L438" s="190">
        <v>45622</v>
      </c>
      <c r="M438" s="191" t="s">
        <v>796</v>
      </c>
    </row>
    <row r="439" spans="2:13" x14ac:dyDescent="0.2">
      <c r="B439" s="189">
        <v>45622</v>
      </c>
      <c r="C439" s="77">
        <v>3327.5</v>
      </c>
      <c r="L439" s="190">
        <v>45621</v>
      </c>
      <c r="M439" s="191" t="s">
        <v>797</v>
      </c>
    </row>
    <row r="440" spans="2:13" x14ac:dyDescent="0.2">
      <c r="B440" s="189">
        <v>45621</v>
      </c>
      <c r="C440" s="77">
        <v>3309.1</v>
      </c>
      <c r="L440" s="190">
        <v>45618</v>
      </c>
      <c r="M440" s="191" t="s">
        <v>798</v>
      </c>
    </row>
    <row r="441" spans="2:13" x14ac:dyDescent="0.2">
      <c r="B441" s="189">
        <v>45618</v>
      </c>
      <c r="C441" s="77">
        <v>3308.7</v>
      </c>
      <c r="L441" s="190">
        <v>45617</v>
      </c>
      <c r="M441" s="191" t="s">
        <v>594</v>
      </c>
    </row>
    <row r="442" spans="2:13" x14ac:dyDescent="0.2">
      <c r="B442" s="189">
        <v>45617</v>
      </c>
      <c r="C442" s="77">
        <v>3178.45</v>
      </c>
      <c r="L442" s="190">
        <v>45615</v>
      </c>
      <c r="M442" s="191" t="s">
        <v>433</v>
      </c>
    </row>
    <row r="443" spans="2:13" x14ac:dyDescent="0.2">
      <c r="B443" s="189">
        <v>45615</v>
      </c>
      <c r="C443" s="77">
        <v>3224.7</v>
      </c>
      <c r="L443" s="190">
        <v>45614</v>
      </c>
      <c r="M443" s="191" t="s">
        <v>799</v>
      </c>
    </row>
    <row r="444" spans="2:13" x14ac:dyDescent="0.2">
      <c r="B444" s="189">
        <v>45614</v>
      </c>
      <c r="C444" s="77">
        <v>3172.3</v>
      </c>
      <c r="L444" s="190">
        <v>45610</v>
      </c>
      <c r="M444" s="191" t="s">
        <v>792</v>
      </c>
    </row>
    <row r="445" spans="2:13" x14ac:dyDescent="0.2">
      <c r="B445" s="189">
        <v>45610</v>
      </c>
      <c r="C445" s="77">
        <v>3183.7</v>
      </c>
      <c r="L445" s="190">
        <v>45609</v>
      </c>
      <c r="M445" s="191" t="s">
        <v>800</v>
      </c>
    </row>
    <row r="446" spans="2:13" x14ac:dyDescent="0.2">
      <c r="B446" s="189">
        <v>45609</v>
      </c>
      <c r="C446" s="77">
        <v>3187.85</v>
      </c>
      <c r="L446" s="190">
        <v>45608</v>
      </c>
      <c r="M446" s="191" t="s">
        <v>801</v>
      </c>
    </row>
    <row r="447" spans="2:13" x14ac:dyDescent="0.2">
      <c r="B447" s="189">
        <v>45608</v>
      </c>
      <c r="C447" s="77">
        <v>3198.45</v>
      </c>
      <c r="L447" s="190">
        <v>45607</v>
      </c>
      <c r="M447" s="191" t="s">
        <v>455</v>
      </c>
    </row>
    <row r="448" spans="2:13" x14ac:dyDescent="0.2">
      <c r="B448" s="189">
        <v>45607</v>
      </c>
      <c r="C448" s="77">
        <v>3206.6</v>
      </c>
      <c r="L448" s="190">
        <v>45604</v>
      </c>
      <c r="M448" s="191" t="s">
        <v>802</v>
      </c>
    </row>
    <row r="449" spans="2:13" x14ac:dyDescent="0.2">
      <c r="B449" s="189">
        <v>45604</v>
      </c>
      <c r="C449" s="77">
        <v>3186.25</v>
      </c>
      <c r="L449" s="190">
        <v>45603</v>
      </c>
      <c r="M449" s="191" t="s">
        <v>515</v>
      </c>
    </row>
    <row r="450" spans="2:13" x14ac:dyDescent="0.2">
      <c r="B450" s="189">
        <v>45603</v>
      </c>
      <c r="C450" s="77">
        <v>3120.85</v>
      </c>
      <c r="L450" s="190">
        <v>45602</v>
      </c>
      <c r="M450" s="191" t="s">
        <v>803</v>
      </c>
    </row>
    <row r="451" spans="2:13" x14ac:dyDescent="0.2">
      <c r="B451" s="189">
        <v>45602</v>
      </c>
      <c r="C451" s="77">
        <v>3177.05</v>
      </c>
      <c r="L451" s="190">
        <v>45601</v>
      </c>
      <c r="M451" s="191" t="s">
        <v>804</v>
      </c>
    </row>
    <row r="452" spans="2:13" x14ac:dyDescent="0.2">
      <c r="B452" s="189">
        <v>45601</v>
      </c>
      <c r="C452" s="77">
        <v>3230.25</v>
      </c>
      <c r="L452" s="190">
        <v>45600</v>
      </c>
      <c r="M452" s="191" t="s">
        <v>471</v>
      </c>
    </row>
    <row r="453" spans="2:13" x14ac:dyDescent="0.2">
      <c r="B453" s="189">
        <v>45600</v>
      </c>
      <c r="C453" s="77">
        <v>3222</v>
      </c>
      <c r="L453" s="190">
        <v>45597</v>
      </c>
      <c r="M453" s="191" t="s">
        <v>805</v>
      </c>
    </row>
    <row r="454" spans="2:13" x14ac:dyDescent="0.2">
      <c r="B454" s="189">
        <v>45597</v>
      </c>
      <c r="C454" s="77">
        <v>3293.7</v>
      </c>
      <c r="L454" s="190">
        <v>45596</v>
      </c>
      <c r="M454" s="191" t="s">
        <v>433</v>
      </c>
    </row>
    <row r="455" spans="2:13" x14ac:dyDescent="0.2">
      <c r="B455" s="189">
        <v>45596</v>
      </c>
      <c r="C455" s="77">
        <v>3267.05</v>
      </c>
      <c r="L455" s="190">
        <v>45595</v>
      </c>
      <c r="M455" s="191" t="s">
        <v>806</v>
      </c>
    </row>
    <row r="456" spans="2:13" x14ac:dyDescent="0.2">
      <c r="B456" s="189">
        <v>45595</v>
      </c>
      <c r="C456" s="77">
        <v>3308.45</v>
      </c>
      <c r="L456" s="190">
        <v>45594</v>
      </c>
      <c r="M456" s="191" t="s">
        <v>807</v>
      </c>
    </row>
    <row r="457" spans="2:13" x14ac:dyDescent="0.2">
      <c r="B457" s="189">
        <v>45594</v>
      </c>
      <c r="C457" s="77">
        <v>3283.4</v>
      </c>
      <c r="L457" s="190">
        <v>45593</v>
      </c>
      <c r="M457" s="191" t="s">
        <v>808</v>
      </c>
    </row>
    <row r="458" spans="2:13" x14ac:dyDescent="0.2">
      <c r="B458" s="189">
        <v>45593</v>
      </c>
      <c r="C458" s="77">
        <v>3283.05</v>
      </c>
      <c r="L458" s="190">
        <v>45590</v>
      </c>
      <c r="M458" s="191" t="s">
        <v>809</v>
      </c>
    </row>
    <row r="459" spans="2:13" x14ac:dyDescent="0.2">
      <c r="B459" s="189">
        <v>45590</v>
      </c>
      <c r="C459" s="77">
        <v>3266.55</v>
      </c>
      <c r="L459" s="190">
        <v>45589</v>
      </c>
      <c r="M459" s="191" t="s">
        <v>810</v>
      </c>
    </row>
    <row r="460" spans="2:13" x14ac:dyDescent="0.2">
      <c r="B460" s="189">
        <v>45589</v>
      </c>
      <c r="C460" s="77">
        <v>3330.9</v>
      </c>
      <c r="L460" s="190">
        <v>45588</v>
      </c>
      <c r="M460" s="191" t="s">
        <v>811</v>
      </c>
    </row>
    <row r="461" spans="2:13" x14ac:dyDescent="0.2">
      <c r="B461" s="189">
        <v>45588</v>
      </c>
      <c r="C461" s="77">
        <v>3288.6</v>
      </c>
      <c r="L461" s="190">
        <v>45587</v>
      </c>
      <c r="M461" s="191" t="s">
        <v>812</v>
      </c>
    </row>
    <row r="462" spans="2:13" x14ac:dyDescent="0.2">
      <c r="B462" s="189">
        <v>45587</v>
      </c>
      <c r="C462" s="77">
        <v>3329.8</v>
      </c>
      <c r="L462" s="190">
        <v>45586</v>
      </c>
      <c r="M462" s="191" t="s">
        <v>813</v>
      </c>
    </row>
    <row r="463" spans="2:13" x14ac:dyDescent="0.2">
      <c r="B463" s="189">
        <v>45586</v>
      </c>
      <c r="C463" s="77">
        <v>3363.25</v>
      </c>
      <c r="L463" s="190">
        <v>45583</v>
      </c>
      <c r="M463" s="191" t="s">
        <v>649</v>
      </c>
    </row>
    <row r="464" spans="2:13" x14ac:dyDescent="0.2">
      <c r="B464" s="189">
        <v>45583</v>
      </c>
      <c r="C464" s="77">
        <v>3381.45</v>
      </c>
      <c r="L464" s="190">
        <v>45582</v>
      </c>
      <c r="M464" s="191" t="s">
        <v>814</v>
      </c>
    </row>
    <row r="465" spans="2:13" x14ac:dyDescent="0.2">
      <c r="B465" s="189">
        <v>45582</v>
      </c>
      <c r="C465" s="77">
        <v>3403.35</v>
      </c>
      <c r="L465" s="190">
        <v>45581</v>
      </c>
      <c r="M465" s="191" t="s">
        <v>815</v>
      </c>
    </row>
    <row r="466" spans="2:13" x14ac:dyDescent="0.2">
      <c r="B466" s="189">
        <v>45581</v>
      </c>
      <c r="C466" s="77">
        <v>3471</v>
      </c>
      <c r="L466" s="190">
        <v>45580</v>
      </c>
      <c r="M466" s="191" t="s">
        <v>816</v>
      </c>
    </row>
    <row r="467" spans="2:13" x14ac:dyDescent="0.2">
      <c r="B467" s="189">
        <v>45580</v>
      </c>
      <c r="C467" s="77">
        <v>3508.5</v>
      </c>
      <c r="L467" s="190">
        <v>45579</v>
      </c>
      <c r="M467" s="191" t="s">
        <v>817</v>
      </c>
    </row>
    <row r="468" spans="2:13" x14ac:dyDescent="0.2">
      <c r="B468" s="189">
        <v>45579</v>
      </c>
      <c r="C468" s="77">
        <v>3497.8</v>
      </c>
      <c r="L468" s="190">
        <v>45576</v>
      </c>
      <c r="M468" s="191" t="s">
        <v>818</v>
      </c>
    </row>
    <row r="469" spans="2:13" x14ac:dyDescent="0.2">
      <c r="B469" s="189">
        <v>45576</v>
      </c>
      <c r="C469" s="77">
        <v>3474.4</v>
      </c>
      <c r="L469" s="190">
        <v>45575</v>
      </c>
      <c r="M469" s="191" t="s">
        <v>517</v>
      </c>
    </row>
    <row r="470" spans="2:13" x14ac:dyDescent="0.2">
      <c r="B470" s="189">
        <v>45575</v>
      </c>
      <c r="C470" s="77">
        <v>3447.25</v>
      </c>
      <c r="L470" s="190">
        <v>45574</v>
      </c>
      <c r="M470" s="191" t="s">
        <v>563</v>
      </c>
    </row>
    <row r="471" spans="2:13" x14ac:dyDescent="0.2">
      <c r="B471" s="189">
        <v>45574</v>
      </c>
      <c r="C471" s="77">
        <v>3493.45</v>
      </c>
      <c r="L471" s="190">
        <v>45573</v>
      </c>
      <c r="M471" s="191" t="s">
        <v>569</v>
      </c>
    </row>
    <row r="472" spans="2:13" x14ac:dyDescent="0.2">
      <c r="B472" s="189">
        <v>45573</v>
      </c>
      <c r="C472" s="77">
        <v>3493.35</v>
      </c>
      <c r="L472" s="190">
        <v>45572</v>
      </c>
      <c r="M472" s="191" t="s">
        <v>604</v>
      </c>
    </row>
    <row r="473" spans="2:13" x14ac:dyDescent="0.2">
      <c r="B473" s="189">
        <v>45572</v>
      </c>
      <c r="C473" s="77">
        <v>3589.25</v>
      </c>
      <c r="L473" s="190">
        <v>45569</v>
      </c>
      <c r="M473" s="191" t="s">
        <v>736</v>
      </c>
    </row>
    <row r="474" spans="2:13" x14ac:dyDescent="0.2">
      <c r="B474" s="189">
        <v>45569</v>
      </c>
      <c r="C474" s="77">
        <v>3670.1</v>
      </c>
      <c r="L474" s="190">
        <v>45568</v>
      </c>
      <c r="M474" s="191" t="s">
        <v>716</v>
      </c>
    </row>
    <row r="475" spans="2:13" x14ac:dyDescent="0.2">
      <c r="B475" s="189">
        <v>45568</v>
      </c>
      <c r="C475" s="77">
        <v>3674.95</v>
      </c>
      <c r="L475" s="190">
        <v>45566</v>
      </c>
      <c r="M475" s="191" t="s">
        <v>819</v>
      </c>
    </row>
    <row r="476" spans="2:13" x14ac:dyDescent="0.2">
      <c r="B476" s="189">
        <v>45566</v>
      </c>
      <c r="C476" s="77">
        <v>3775.95</v>
      </c>
      <c r="L476" s="190">
        <v>45565</v>
      </c>
      <c r="M476" s="191" t="s">
        <v>527</v>
      </c>
    </row>
    <row r="477" spans="2:13" x14ac:dyDescent="0.2">
      <c r="B477" s="189">
        <v>45565</v>
      </c>
      <c r="C477" s="77">
        <v>3823.95</v>
      </c>
      <c r="L477" s="190">
        <v>45562</v>
      </c>
      <c r="M477" s="191" t="s">
        <v>820</v>
      </c>
    </row>
    <row r="478" spans="2:13" x14ac:dyDescent="0.2">
      <c r="B478" s="189">
        <v>45562</v>
      </c>
      <c r="C478" s="77">
        <v>3816.7</v>
      </c>
      <c r="L478" s="190">
        <v>45561</v>
      </c>
      <c r="M478" s="191" t="s">
        <v>821</v>
      </c>
    </row>
    <row r="479" spans="2:13" x14ac:dyDescent="0.2">
      <c r="B479" s="189">
        <v>45561</v>
      </c>
      <c r="C479" s="77">
        <v>3757.55</v>
      </c>
      <c r="L479" s="190">
        <v>45560</v>
      </c>
      <c r="M479" s="191" t="s">
        <v>822</v>
      </c>
    </row>
    <row r="480" spans="2:13" x14ac:dyDescent="0.2">
      <c r="B480" s="189">
        <v>45560</v>
      </c>
      <c r="C480" s="77">
        <v>3737.25</v>
      </c>
      <c r="L480" s="190">
        <v>45559</v>
      </c>
      <c r="M480" s="191" t="s">
        <v>434</v>
      </c>
    </row>
    <row r="481" spans="2:13" x14ac:dyDescent="0.2">
      <c r="B481" s="189">
        <v>45559</v>
      </c>
      <c r="C481" s="77">
        <v>3784.9</v>
      </c>
      <c r="L481" s="190">
        <v>45558</v>
      </c>
      <c r="M481" s="191" t="s">
        <v>823</v>
      </c>
    </row>
    <row r="482" spans="2:13" x14ac:dyDescent="0.2">
      <c r="B482" s="189">
        <v>45558</v>
      </c>
      <c r="C482" s="77">
        <v>3820.1</v>
      </c>
      <c r="L482" s="190">
        <v>45555</v>
      </c>
      <c r="M482" s="191" t="s">
        <v>824</v>
      </c>
    </row>
    <row r="483" spans="2:13" x14ac:dyDescent="0.2">
      <c r="B483" s="189">
        <v>45555</v>
      </c>
      <c r="C483" s="77">
        <v>3797.2</v>
      </c>
      <c r="L483" s="190">
        <v>45554</v>
      </c>
      <c r="M483" s="191" t="s">
        <v>825</v>
      </c>
    </row>
    <row r="484" spans="2:13" x14ac:dyDescent="0.2">
      <c r="B484" s="189">
        <v>45554</v>
      </c>
      <c r="C484" s="77">
        <v>3780.95</v>
      </c>
      <c r="L484" s="190">
        <v>45553</v>
      </c>
      <c r="M484" s="191" t="s">
        <v>826</v>
      </c>
    </row>
    <row r="485" spans="2:13" x14ac:dyDescent="0.2">
      <c r="B485" s="189">
        <v>45553</v>
      </c>
      <c r="C485" s="77">
        <v>3725.35</v>
      </c>
      <c r="L485" s="190">
        <v>45552</v>
      </c>
      <c r="M485" s="191" t="s">
        <v>827</v>
      </c>
    </row>
    <row r="486" spans="2:13" x14ac:dyDescent="0.2">
      <c r="B486" s="189">
        <v>45552</v>
      </c>
      <c r="C486" s="77">
        <v>3767.4</v>
      </c>
      <c r="L486" s="190">
        <v>45551</v>
      </c>
      <c r="M486" s="191" t="s">
        <v>828</v>
      </c>
    </row>
    <row r="487" spans="2:13" x14ac:dyDescent="0.2">
      <c r="B487" s="189">
        <v>45551</v>
      </c>
      <c r="C487" s="77">
        <v>3740.65</v>
      </c>
      <c r="L487" s="190">
        <v>45548</v>
      </c>
      <c r="M487" s="191" t="s">
        <v>438</v>
      </c>
    </row>
    <row r="488" spans="2:13" x14ac:dyDescent="0.2">
      <c r="B488" s="189">
        <v>45548</v>
      </c>
      <c r="C488" s="77">
        <v>3767</v>
      </c>
      <c r="L488" s="190">
        <v>45547</v>
      </c>
      <c r="M488" s="191" t="s">
        <v>829</v>
      </c>
    </row>
    <row r="489" spans="2:13" x14ac:dyDescent="0.2">
      <c r="B489" s="189">
        <v>45547</v>
      </c>
      <c r="C489" s="77">
        <v>3764.25</v>
      </c>
      <c r="L489" s="190">
        <v>45546</v>
      </c>
      <c r="M489" s="191" t="s">
        <v>830</v>
      </c>
    </row>
    <row r="490" spans="2:13" x14ac:dyDescent="0.2">
      <c r="B490" s="189">
        <v>45546</v>
      </c>
      <c r="C490" s="77">
        <v>3711.1</v>
      </c>
      <c r="L490" s="190">
        <v>45545</v>
      </c>
      <c r="M490" s="191" t="s">
        <v>430</v>
      </c>
    </row>
    <row r="491" spans="2:13" x14ac:dyDescent="0.2">
      <c r="B491" s="189">
        <v>45545</v>
      </c>
      <c r="C491" s="77">
        <v>3727.4</v>
      </c>
      <c r="L491" s="190">
        <v>45544</v>
      </c>
      <c r="M491" s="191" t="s">
        <v>831</v>
      </c>
    </row>
    <row r="492" spans="2:13" x14ac:dyDescent="0.2">
      <c r="B492" s="189">
        <v>45544</v>
      </c>
      <c r="C492" s="77">
        <v>3684.55</v>
      </c>
      <c r="L492" s="190">
        <v>45541</v>
      </c>
      <c r="M492" s="191" t="s">
        <v>832</v>
      </c>
    </row>
    <row r="493" spans="2:13" x14ac:dyDescent="0.2">
      <c r="B493" s="189">
        <v>45541</v>
      </c>
      <c r="C493" s="77">
        <v>3695.5</v>
      </c>
      <c r="L493" s="190">
        <v>45540</v>
      </c>
      <c r="M493" s="191" t="s">
        <v>833</v>
      </c>
    </row>
    <row r="494" spans="2:13" x14ac:dyDescent="0.2">
      <c r="B494" s="189">
        <v>45540</v>
      </c>
      <c r="C494" s="77">
        <v>3722.85</v>
      </c>
      <c r="L494" s="190">
        <v>45539</v>
      </c>
      <c r="M494" s="191" t="s">
        <v>834</v>
      </c>
    </row>
    <row r="495" spans="2:13" x14ac:dyDescent="0.2">
      <c r="B495" s="189">
        <v>45539</v>
      </c>
      <c r="C495" s="77">
        <v>3607.7</v>
      </c>
      <c r="L495" s="190">
        <v>45538</v>
      </c>
      <c r="M495" s="191" t="s">
        <v>430</v>
      </c>
    </row>
    <row r="496" spans="2:13" x14ac:dyDescent="0.2">
      <c r="B496" s="189">
        <v>45538</v>
      </c>
      <c r="C496" s="77">
        <v>3621.15</v>
      </c>
      <c r="L496" s="190">
        <v>45537</v>
      </c>
      <c r="M496" s="191" t="s">
        <v>835</v>
      </c>
    </row>
    <row r="497" spans="2:13" x14ac:dyDescent="0.2">
      <c r="B497" s="189">
        <v>45537</v>
      </c>
      <c r="C497" s="77">
        <v>3587.55</v>
      </c>
      <c r="L497" s="190">
        <v>45534</v>
      </c>
      <c r="M497" s="191" t="s">
        <v>508</v>
      </c>
    </row>
    <row r="498" spans="2:13" x14ac:dyDescent="0.2">
      <c r="B498" s="189">
        <v>45534</v>
      </c>
      <c r="C498" s="77">
        <v>3565.15</v>
      </c>
      <c r="L498" s="190">
        <v>45533</v>
      </c>
      <c r="M498" s="191" t="s">
        <v>836</v>
      </c>
    </row>
    <row r="499" spans="2:13" x14ac:dyDescent="0.2">
      <c r="B499" s="189">
        <v>45533</v>
      </c>
      <c r="C499" s="77">
        <v>3533.2</v>
      </c>
      <c r="L499" s="190">
        <v>45532</v>
      </c>
      <c r="M499" s="191" t="s">
        <v>837</v>
      </c>
    </row>
    <row r="500" spans="2:13" x14ac:dyDescent="0.2">
      <c r="B500" s="189">
        <v>45532</v>
      </c>
      <c r="C500" s="77">
        <v>3527.5</v>
      </c>
      <c r="L500" s="190">
        <v>45531</v>
      </c>
      <c r="M500" s="191" t="s">
        <v>433</v>
      </c>
    </row>
    <row r="501" spans="2:13" x14ac:dyDescent="0.2">
      <c r="B501" s="189">
        <v>45531</v>
      </c>
      <c r="C501" s="77">
        <v>3551.25</v>
      </c>
      <c r="L501" s="190">
        <v>45530</v>
      </c>
      <c r="M501" s="191" t="s">
        <v>792</v>
      </c>
    </row>
    <row r="502" spans="2:13" x14ac:dyDescent="0.2">
      <c r="B502" s="189">
        <v>45530</v>
      </c>
      <c r="C502" s="77">
        <v>3630.2</v>
      </c>
      <c r="L502" s="190">
        <v>45527</v>
      </c>
      <c r="M502" s="191" t="s">
        <v>433</v>
      </c>
    </row>
    <row r="503" spans="2:13" x14ac:dyDescent="0.2">
      <c r="B503" s="189">
        <v>45527</v>
      </c>
      <c r="C503" s="77">
        <v>3570</v>
      </c>
      <c r="L503" s="190">
        <v>45526</v>
      </c>
      <c r="M503" s="191" t="s">
        <v>521</v>
      </c>
    </row>
    <row r="504" spans="2:13" x14ac:dyDescent="0.2">
      <c r="B504" s="189">
        <v>45526</v>
      </c>
      <c r="C504" s="77">
        <v>3604.4</v>
      </c>
      <c r="L504" s="190">
        <v>45525</v>
      </c>
      <c r="M504" s="191" t="s">
        <v>838</v>
      </c>
    </row>
    <row r="505" spans="2:13" x14ac:dyDescent="0.2">
      <c r="B505" s="189">
        <v>45525</v>
      </c>
      <c r="C505" s="77">
        <v>3560.4</v>
      </c>
      <c r="L505" s="190">
        <v>45524</v>
      </c>
      <c r="M505" s="191" t="s">
        <v>839</v>
      </c>
    </row>
    <row r="506" spans="2:13" x14ac:dyDescent="0.2">
      <c r="B506" s="189">
        <v>45524</v>
      </c>
      <c r="C506" s="77">
        <v>3474.9</v>
      </c>
      <c r="L506" s="190">
        <v>45523</v>
      </c>
      <c r="M506" s="191" t="s">
        <v>449</v>
      </c>
    </row>
    <row r="507" spans="2:13" x14ac:dyDescent="0.2">
      <c r="B507" s="189">
        <v>45523</v>
      </c>
      <c r="C507" s="77">
        <v>3464.85</v>
      </c>
      <c r="L507" s="190">
        <v>45520</v>
      </c>
      <c r="M507" s="191" t="s">
        <v>792</v>
      </c>
    </row>
    <row r="508" spans="2:13" x14ac:dyDescent="0.2">
      <c r="B508" s="189">
        <v>45520</v>
      </c>
      <c r="C508" s="77">
        <v>3444.75</v>
      </c>
      <c r="L508" s="190">
        <v>45518</v>
      </c>
      <c r="M508" s="191" t="s">
        <v>840</v>
      </c>
    </row>
    <row r="509" spans="2:13" x14ac:dyDescent="0.2">
      <c r="B509" s="189">
        <v>45518</v>
      </c>
      <c r="C509" s="77">
        <v>3402.15</v>
      </c>
      <c r="L509" s="190">
        <v>45517</v>
      </c>
      <c r="M509" s="191" t="s">
        <v>519</v>
      </c>
    </row>
    <row r="510" spans="2:13" x14ac:dyDescent="0.2">
      <c r="B510" s="189">
        <v>45517</v>
      </c>
      <c r="C510" s="77">
        <v>3383.55</v>
      </c>
      <c r="L510" s="190">
        <v>45516</v>
      </c>
      <c r="M510" s="191" t="s">
        <v>841</v>
      </c>
    </row>
    <row r="511" spans="2:13" x14ac:dyDescent="0.2">
      <c r="B511" s="189">
        <v>45516</v>
      </c>
      <c r="C511" s="77">
        <v>3320.85</v>
      </c>
      <c r="L511" s="190">
        <v>45513</v>
      </c>
      <c r="M511" s="191" t="s">
        <v>522</v>
      </c>
    </row>
    <row r="512" spans="2:13" x14ac:dyDescent="0.2">
      <c r="B512" s="189">
        <v>45513</v>
      </c>
      <c r="C512" s="77">
        <v>3331.7</v>
      </c>
      <c r="L512" s="190">
        <v>45512</v>
      </c>
      <c r="M512" s="191" t="s">
        <v>434</v>
      </c>
    </row>
    <row r="513" spans="2:13" x14ac:dyDescent="0.2">
      <c r="B513" s="189">
        <v>45512</v>
      </c>
      <c r="C513" s="77">
        <v>3296.5</v>
      </c>
      <c r="L513" s="190">
        <v>45511</v>
      </c>
      <c r="M513" s="191" t="s">
        <v>434</v>
      </c>
    </row>
    <row r="514" spans="2:13" x14ac:dyDescent="0.2">
      <c r="B514" s="189">
        <v>45511</v>
      </c>
      <c r="C514" s="77">
        <v>3326.25</v>
      </c>
      <c r="L514" s="190">
        <v>45510</v>
      </c>
      <c r="M514" s="191" t="s">
        <v>842</v>
      </c>
    </row>
    <row r="515" spans="2:13" x14ac:dyDescent="0.2">
      <c r="B515" s="189">
        <v>45510</v>
      </c>
      <c r="C515" s="77">
        <v>3335.1</v>
      </c>
      <c r="L515" s="190">
        <v>45509</v>
      </c>
      <c r="M515" s="191" t="s">
        <v>843</v>
      </c>
    </row>
    <row r="516" spans="2:13" x14ac:dyDescent="0.2">
      <c r="B516" s="189">
        <v>45509</v>
      </c>
      <c r="C516" s="77">
        <v>3375.95</v>
      </c>
      <c r="L516" s="190">
        <v>45506</v>
      </c>
      <c r="M516" s="191" t="s">
        <v>433</v>
      </c>
    </row>
    <row r="517" spans="2:13" x14ac:dyDescent="0.2">
      <c r="B517" s="189">
        <v>45506</v>
      </c>
      <c r="C517" s="77">
        <v>3462.35</v>
      </c>
      <c r="L517" s="190">
        <v>45505</v>
      </c>
      <c r="M517" s="191" t="s">
        <v>844</v>
      </c>
    </row>
    <row r="518" spans="2:13" x14ac:dyDescent="0.2">
      <c r="B518" s="189">
        <v>45505</v>
      </c>
      <c r="C518" s="77">
        <v>3468.35</v>
      </c>
      <c r="L518" s="190">
        <v>45504</v>
      </c>
      <c r="M518" s="191" t="s">
        <v>569</v>
      </c>
    </row>
    <row r="519" spans="2:13" x14ac:dyDescent="0.2">
      <c r="B519" s="189">
        <v>45504</v>
      </c>
      <c r="C519" s="77">
        <v>3458.95</v>
      </c>
      <c r="L519" s="190">
        <v>45503</v>
      </c>
      <c r="M519" s="191" t="s">
        <v>441</v>
      </c>
    </row>
    <row r="520" spans="2:13" x14ac:dyDescent="0.2">
      <c r="B520" s="189">
        <v>45503</v>
      </c>
      <c r="C520" s="77">
        <v>3468.25</v>
      </c>
      <c r="L520" s="190">
        <v>45502</v>
      </c>
      <c r="M520" s="191" t="s">
        <v>798</v>
      </c>
    </row>
    <row r="521" spans="2:13" x14ac:dyDescent="0.2">
      <c r="B521" s="189">
        <v>45502</v>
      </c>
      <c r="C521" s="77">
        <v>3411.7</v>
      </c>
      <c r="L521" s="190">
        <v>45499</v>
      </c>
      <c r="M521" s="191" t="s">
        <v>845</v>
      </c>
    </row>
    <row r="522" spans="2:13" x14ac:dyDescent="0.2">
      <c r="B522" s="189">
        <v>45499</v>
      </c>
      <c r="C522" s="77">
        <v>3494.15</v>
      </c>
      <c r="L522" s="190">
        <v>45498</v>
      </c>
      <c r="M522" s="191" t="s">
        <v>608</v>
      </c>
    </row>
    <row r="523" spans="2:13" x14ac:dyDescent="0.2">
      <c r="B523" s="189">
        <v>45498</v>
      </c>
      <c r="C523" s="77">
        <v>3405.8</v>
      </c>
      <c r="L523" s="190">
        <v>45497</v>
      </c>
      <c r="M523" s="191" t="s">
        <v>846</v>
      </c>
    </row>
    <row r="524" spans="2:13" x14ac:dyDescent="0.2">
      <c r="B524" s="189">
        <v>45497</v>
      </c>
      <c r="C524" s="77">
        <v>3478.4</v>
      </c>
      <c r="L524" s="190">
        <v>45496</v>
      </c>
      <c r="M524" s="191" t="s">
        <v>847</v>
      </c>
    </row>
    <row r="525" spans="2:13" x14ac:dyDescent="0.2">
      <c r="B525" s="189">
        <v>45496</v>
      </c>
      <c r="C525" s="77">
        <v>3466.85</v>
      </c>
      <c r="L525" s="190">
        <v>45495</v>
      </c>
      <c r="M525" s="191" t="s">
        <v>848</v>
      </c>
    </row>
    <row r="526" spans="2:13" x14ac:dyDescent="0.2">
      <c r="B526" s="189">
        <v>45495</v>
      </c>
      <c r="C526" s="77">
        <v>3254.45</v>
      </c>
      <c r="L526" s="190">
        <v>45492</v>
      </c>
      <c r="M526" s="191" t="s">
        <v>430</v>
      </c>
    </row>
    <row r="527" spans="2:13" x14ac:dyDescent="0.2">
      <c r="B527" s="189">
        <v>45492</v>
      </c>
      <c r="C527" s="77">
        <v>3259</v>
      </c>
      <c r="L527" s="190">
        <v>45491</v>
      </c>
      <c r="M527" s="191" t="s">
        <v>548</v>
      </c>
    </row>
    <row r="528" spans="2:13" x14ac:dyDescent="0.2">
      <c r="B528" s="189">
        <v>45491</v>
      </c>
      <c r="C528" s="77">
        <v>3262.1</v>
      </c>
      <c r="L528" s="190">
        <v>45489</v>
      </c>
      <c r="M528" s="191" t="s">
        <v>849</v>
      </c>
    </row>
    <row r="529" spans="2:13" x14ac:dyDescent="0.2">
      <c r="B529" s="189">
        <v>45489</v>
      </c>
      <c r="C529" s="77">
        <v>3234.05</v>
      </c>
      <c r="L529" s="190">
        <v>45488</v>
      </c>
      <c r="M529" s="191" t="s">
        <v>460</v>
      </c>
    </row>
    <row r="530" spans="2:13" x14ac:dyDescent="0.2">
      <c r="B530" s="189">
        <v>45488</v>
      </c>
      <c r="C530" s="77">
        <v>3224.2</v>
      </c>
      <c r="L530" s="190">
        <v>45485</v>
      </c>
      <c r="M530" s="191" t="s">
        <v>850</v>
      </c>
    </row>
    <row r="531" spans="2:13" x14ac:dyDescent="0.2">
      <c r="B531" s="189">
        <v>45485</v>
      </c>
      <c r="C531" s="77">
        <v>3229.85</v>
      </c>
      <c r="L531" s="190">
        <v>45484</v>
      </c>
      <c r="M531" s="191" t="s">
        <v>430</v>
      </c>
    </row>
    <row r="532" spans="2:13" x14ac:dyDescent="0.2">
      <c r="B532" s="189">
        <v>45484</v>
      </c>
      <c r="C532" s="77">
        <v>3248.6</v>
      </c>
      <c r="L532" s="190">
        <v>45483</v>
      </c>
      <c r="M532" s="191" t="s">
        <v>851</v>
      </c>
    </row>
    <row r="533" spans="2:13" x14ac:dyDescent="0.2">
      <c r="B533" s="189">
        <v>45483</v>
      </c>
      <c r="C533" s="77">
        <v>3225</v>
      </c>
      <c r="L533" s="190">
        <v>45482</v>
      </c>
      <c r="M533" s="191" t="s">
        <v>852</v>
      </c>
    </row>
    <row r="534" spans="2:13" x14ac:dyDescent="0.2">
      <c r="B534" s="189">
        <v>45482</v>
      </c>
      <c r="C534" s="77">
        <v>3215.15</v>
      </c>
      <c r="L534" s="190">
        <v>45481</v>
      </c>
      <c r="M534" s="191" t="s">
        <v>853</v>
      </c>
    </row>
    <row r="535" spans="2:13" x14ac:dyDescent="0.2">
      <c r="B535" s="189">
        <v>45481</v>
      </c>
      <c r="C535" s="77">
        <v>3156.2</v>
      </c>
      <c r="L535" s="190">
        <v>45478</v>
      </c>
      <c r="M535" s="191" t="s">
        <v>480</v>
      </c>
    </row>
    <row r="536" spans="2:13" x14ac:dyDescent="0.2">
      <c r="B536" s="189">
        <v>45478</v>
      </c>
      <c r="C536" s="77">
        <v>3269.35</v>
      </c>
      <c r="L536" s="190">
        <v>45477</v>
      </c>
      <c r="M536" s="191" t="s">
        <v>854</v>
      </c>
    </row>
    <row r="537" spans="2:13" x14ac:dyDescent="0.2">
      <c r="B537" s="189">
        <v>45477</v>
      </c>
      <c r="C537" s="77">
        <v>3336</v>
      </c>
      <c r="L537" s="190">
        <v>45476</v>
      </c>
      <c r="M537" s="191" t="s">
        <v>855</v>
      </c>
    </row>
    <row r="538" spans="2:13" x14ac:dyDescent="0.2">
      <c r="B538" s="189">
        <v>45476</v>
      </c>
      <c r="C538" s="77">
        <v>3360.25</v>
      </c>
      <c r="L538" s="190">
        <v>45475</v>
      </c>
      <c r="M538" s="191" t="s">
        <v>856</v>
      </c>
    </row>
    <row r="539" spans="2:13" x14ac:dyDescent="0.2">
      <c r="B539" s="189">
        <v>45475</v>
      </c>
      <c r="C539" s="77">
        <v>3399.65</v>
      </c>
      <c r="L539" s="190">
        <v>45474</v>
      </c>
      <c r="M539" s="191" t="s">
        <v>438</v>
      </c>
    </row>
    <row r="540" spans="2:13" x14ac:dyDescent="0.2">
      <c r="B540" s="189">
        <v>45474</v>
      </c>
      <c r="C540" s="77">
        <v>3431.45</v>
      </c>
      <c r="L540" s="190">
        <v>45471</v>
      </c>
      <c r="M540" s="191" t="s">
        <v>525</v>
      </c>
    </row>
    <row r="541" spans="2:13" x14ac:dyDescent="0.2">
      <c r="B541" s="189">
        <v>45471</v>
      </c>
      <c r="C541" s="77">
        <v>3404.2</v>
      </c>
      <c r="L541" s="190">
        <v>45470</v>
      </c>
      <c r="M541" s="191" t="s">
        <v>496</v>
      </c>
    </row>
    <row r="542" spans="2:13" x14ac:dyDescent="0.2">
      <c r="B542" s="189">
        <v>45470</v>
      </c>
      <c r="C542" s="77">
        <v>3380.6</v>
      </c>
      <c r="L542" s="190">
        <v>45469</v>
      </c>
      <c r="M542" s="191" t="s">
        <v>517</v>
      </c>
    </row>
    <row r="543" spans="2:13" x14ac:dyDescent="0.2">
      <c r="B543" s="189">
        <v>45469</v>
      </c>
      <c r="C543" s="77">
        <v>3372.75</v>
      </c>
      <c r="L543" s="190">
        <v>45468</v>
      </c>
      <c r="M543" s="191" t="s">
        <v>520</v>
      </c>
    </row>
    <row r="544" spans="2:13" x14ac:dyDescent="0.2">
      <c r="B544" s="189">
        <v>45468</v>
      </c>
      <c r="C544" s="77">
        <v>3402.45</v>
      </c>
      <c r="L544" s="190">
        <v>45467</v>
      </c>
      <c r="M544" s="191" t="s">
        <v>857</v>
      </c>
    </row>
    <row r="545" spans="2:13" x14ac:dyDescent="0.2">
      <c r="B545" s="189">
        <v>45467</v>
      </c>
      <c r="C545" s="77">
        <v>3412.35</v>
      </c>
      <c r="L545" s="190">
        <v>45464</v>
      </c>
      <c r="M545" s="191" t="s">
        <v>858</v>
      </c>
    </row>
    <row r="546" spans="2:13" x14ac:dyDescent="0.2">
      <c r="B546" s="189">
        <v>45464</v>
      </c>
      <c r="C546" s="77">
        <v>3399.75</v>
      </c>
      <c r="L546" s="190">
        <v>45463</v>
      </c>
      <c r="M546" s="191" t="s">
        <v>791</v>
      </c>
    </row>
    <row r="547" spans="2:13" x14ac:dyDescent="0.2">
      <c r="B547" s="189">
        <v>45463</v>
      </c>
      <c r="C547" s="77">
        <v>3435.95</v>
      </c>
      <c r="L547" s="190">
        <v>45462</v>
      </c>
      <c r="M547" s="191" t="s">
        <v>821</v>
      </c>
    </row>
    <row r="548" spans="2:13" x14ac:dyDescent="0.2">
      <c r="B548" s="189">
        <v>45462</v>
      </c>
      <c r="C548" s="77">
        <v>3462.35</v>
      </c>
      <c r="L548" s="190">
        <v>45461</v>
      </c>
      <c r="M548" s="191" t="s">
        <v>859</v>
      </c>
    </row>
    <row r="549" spans="2:13" x14ac:dyDescent="0.2">
      <c r="B549" s="189">
        <v>45461</v>
      </c>
      <c r="C549" s="77">
        <v>3589</v>
      </c>
      <c r="L549" s="190">
        <v>45457</v>
      </c>
      <c r="M549" s="191" t="s">
        <v>860</v>
      </c>
    </row>
    <row r="550" spans="2:13" x14ac:dyDescent="0.2">
      <c r="B550" s="189">
        <v>45457</v>
      </c>
      <c r="C550" s="77">
        <v>3530.05</v>
      </c>
      <c r="L550" s="190">
        <v>45456</v>
      </c>
      <c r="M550" s="191" t="s">
        <v>667</v>
      </c>
    </row>
    <row r="551" spans="2:13" x14ac:dyDescent="0.2">
      <c r="B551" s="189">
        <v>45456</v>
      </c>
      <c r="C551" s="77">
        <v>3472.2</v>
      </c>
      <c r="L551" s="190">
        <v>45455</v>
      </c>
      <c r="M551" s="191" t="s">
        <v>861</v>
      </c>
    </row>
    <row r="552" spans="2:13" x14ac:dyDescent="0.2">
      <c r="B552" s="189">
        <v>45455</v>
      </c>
      <c r="C552" s="77">
        <v>3382.3</v>
      </c>
      <c r="L552" s="190">
        <v>45454</v>
      </c>
      <c r="M552" s="191" t="s">
        <v>548</v>
      </c>
    </row>
    <row r="553" spans="2:13" x14ac:dyDescent="0.2">
      <c r="B553" s="189">
        <v>45454</v>
      </c>
      <c r="C553" s="77">
        <v>3410.7</v>
      </c>
      <c r="L553" s="190">
        <v>45453</v>
      </c>
      <c r="M553" s="191" t="s">
        <v>431</v>
      </c>
    </row>
    <row r="554" spans="2:13" x14ac:dyDescent="0.2">
      <c r="B554" s="189">
        <v>45453</v>
      </c>
      <c r="C554" s="77">
        <v>3422.2</v>
      </c>
      <c r="L554" s="190">
        <v>45450</v>
      </c>
      <c r="M554" s="191" t="s">
        <v>862</v>
      </c>
    </row>
    <row r="555" spans="2:13" x14ac:dyDescent="0.2">
      <c r="B555" s="189">
        <v>45450</v>
      </c>
      <c r="C555" s="77">
        <v>3444.05</v>
      </c>
      <c r="L555" s="190">
        <v>45449</v>
      </c>
      <c r="M555" s="191" t="s">
        <v>845</v>
      </c>
    </row>
    <row r="556" spans="2:13" x14ac:dyDescent="0.2">
      <c r="B556" s="189">
        <v>45449</v>
      </c>
      <c r="C556" s="77">
        <v>3321.65</v>
      </c>
      <c r="L556" s="190">
        <v>45448</v>
      </c>
      <c r="M556" s="191" t="s">
        <v>744</v>
      </c>
    </row>
    <row r="557" spans="2:13" x14ac:dyDescent="0.2">
      <c r="B557" s="189">
        <v>45448</v>
      </c>
      <c r="C557" s="77">
        <v>3317.65</v>
      </c>
      <c r="L557" s="190">
        <v>45447</v>
      </c>
      <c r="M557" s="191" t="s">
        <v>863</v>
      </c>
    </row>
    <row r="558" spans="2:13" x14ac:dyDescent="0.2">
      <c r="B558" s="189">
        <v>45447</v>
      </c>
      <c r="C558" s="77">
        <v>3238.95</v>
      </c>
      <c r="L558" s="190">
        <v>45446</v>
      </c>
      <c r="M558" s="191" t="s">
        <v>495</v>
      </c>
    </row>
    <row r="559" spans="2:13" x14ac:dyDescent="0.2">
      <c r="B559" s="189">
        <v>45446</v>
      </c>
      <c r="C559" s="77">
        <v>3261.2</v>
      </c>
      <c r="L559" s="190">
        <v>45443</v>
      </c>
      <c r="M559" s="191" t="s">
        <v>604</v>
      </c>
    </row>
    <row r="560" spans="2:13" x14ac:dyDescent="0.2">
      <c r="B560" s="189">
        <v>45443</v>
      </c>
      <c r="C560" s="77">
        <v>3241.9</v>
      </c>
      <c r="L560" s="190">
        <v>45442</v>
      </c>
      <c r="M560" s="191" t="s">
        <v>864</v>
      </c>
    </row>
    <row r="561" spans="2:13" x14ac:dyDescent="0.2">
      <c r="B561" s="189">
        <v>45442</v>
      </c>
      <c r="C561" s="77">
        <v>3271.85</v>
      </c>
      <c r="L561" s="190">
        <v>45441</v>
      </c>
      <c r="M561" s="191" t="s">
        <v>865</v>
      </c>
    </row>
    <row r="562" spans="2:13" x14ac:dyDescent="0.2">
      <c r="B562" s="189">
        <v>45441</v>
      </c>
      <c r="C562" s="77">
        <v>3380.4</v>
      </c>
      <c r="L562" s="190">
        <v>45440</v>
      </c>
      <c r="M562" s="191" t="s">
        <v>866</v>
      </c>
    </row>
    <row r="563" spans="2:13" x14ac:dyDescent="0.2">
      <c r="B563" s="189">
        <v>45440</v>
      </c>
      <c r="C563" s="77">
        <v>3409.4</v>
      </c>
      <c r="L563" s="190">
        <v>45439</v>
      </c>
      <c r="M563" s="191" t="s">
        <v>867</v>
      </c>
    </row>
    <row r="564" spans="2:13" x14ac:dyDescent="0.2">
      <c r="B564" s="189">
        <v>45439</v>
      </c>
      <c r="C564" s="77">
        <v>3403.4</v>
      </c>
      <c r="L564" s="190">
        <v>45436</v>
      </c>
      <c r="M564" s="191" t="s">
        <v>868</v>
      </c>
    </row>
    <row r="565" spans="2:13" x14ac:dyDescent="0.2">
      <c r="B565" s="189">
        <v>45436</v>
      </c>
      <c r="C565" s="77">
        <v>3412.4</v>
      </c>
      <c r="L565" s="190">
        <v>45435</v>
      </c>
      <c r="M565" s="191" t="s">
        <v>869</v>
      </c>
    </row>
    <row r="566" spans="2:13" x14ac:dyDescent="0.2">
      <c r="B566" s="189">
        <v>45435</v>
      </c>
      <c r="C566" s="77">
        <v>3452.05</v>
      </c>
      <c r="L566" s="190">
        <v>45434</v>
      </c>
      <c r="M566" s="191" t="s">
        <v>870</v>
      </c>
    </row>
    <row r="567" spans="2:13" x14ac:dyDescent="0.2">
      <c r="B567" s="189">
        <v>45434</v>
      </c>
      <c r="C567" s="77">
        <v>3383.85</v>
      </c>
      <c r="L567" s="190">
        <v>45433</v>
      </c>
      <c r="M567" s="191" t="s">
        <v>871</v>
      </c>
    </row>
    <row r="568" spans="2:13" x14ac:dyDescent="0.2">
      <c r="B568" s="189">
        <v>45433</v>
      </c>
      <c r="C568" s="77">
        <v>3377</v>
      </c>
      <c r="L568" s="190">
        <v>45430</v>
      </c>
      <c r="M568" s="191" t="s">
        <v>872</v>
      </c>
    </row>
    <row r="569" spans="2:13" x14ac:dyDescent="0.2">
      <c r="B569" s="189">
        <v>45430</v>
      </c>
      <c r="C569" s="77">
        <v>3362.55</v>
      </c>
      <c r="L569" s="190">
        <v>45429</v>
      </c>
      <c r="M569" s="191" t="s">
        <v>746</v>
      </c>
    </row>
    <row r="570" spans="2:13" x14ac:dyDescent="0.2">
      <c r="B570" s="189">
        <v>45429</v>
      </c>
      <c r="C570" s="77">
        <v>3361.15</v>
      </c>
      <c r="L570" s="190">
        <v>45428</v>
      </c>
      <c r="M570" s="191" t="s">
        <v>744</v>
      </c>
    </row>
    <row r="571" spans="2:13" x14ac:dyDescent="0.2">
      <c r="B571" s="189">
        <v>45428</v>
      </c>
      <c r="C571" s="77">
        <v>3333.9</v>
      </c>
      <c r="L571" s="190">
        <v>45427</v>
      </c>
      <c r="M571" s="191" t="s">
        <v>873</v>
      </c>
    </row>
    <row r="572" spans="2:13" x14ac:dyDescent="0.2">
      <c r="B572" s="189">
        <v>45427</v>
      </c>
      <c r="C572" s="77">
        <v>3268.55</v>
      </c>
      <c r="L572" s="190">
        <v>45426</v>
      </c>
      <c r="M572" s="191" t="s">
        <v>874</v>
      </c>
    </row>
    <row r="573" spans="2:13" x14ac:dyDescent="0.2">
      <c r="B573" s="189">
        <v>45426</v>
      </c>
      <c r="C573" s="77">
        <v>3288.9</v>
      </c>
      <c r="L573" s="190">
        <v>45425</v>
      </c>
      <c r="M573" s="191" t="s">
        <v>875</v>
      </c>
    </row>
    <row r="574" spans="2:13" x14ac:dyDescent="0.2">
      <c r="B574" s="189">
        <v>45425</v>
      </c>
      <c r="C574" s="77">
        <v>3253.65</v>
      </c>
      <c r="L574" s="190">
        <v>45422</v>
      </c>
      <c r="M574" s="191" t="s">
        <v>519</v>
      </c>
    </row>
    <row r="575" spans="2:13" x14ac:dyDescent="0.2">
      <c r="B575" s="189">
        <v>45422</v>
      </c>
      <c r="C575" s="77">
        <v>3289.85</v>
      </c>
      <c r="L575" s="190">
        <v>45421</v>
      </c>
      <c r="M575" s="191" t="s">
        <v>821</v>
      </c>
    </row>
    <row r="576" spans="2:13" x14ac:dyDescent="0.2">
      <c r="B576" s="189">
        <v>45421</v>
      </c>
      <c r="C576" s="77">
        <v>3245.7</v>
      </c>
      <c r="L576" s="190">
        <v>45420</v>
      </c>
      <c r="M576" s="191" t="s">
        <v>861</v>
      </c>
    </row>
    <row r="577" spans="2:13" x14ac:dyDescent="0.2">
      <c r="B577" s="189">
        <v>45420</v>
      </c>
      <c r="C577" s="77">
        <v>3259.85</v>
      </c>
      <c r="L577" s="190">
        <v>45419</v>
      </c>
      <c r="M577" s="191" t="s">
        <v>876</v>
      </c>
    </row>
    <row r="578" spans="2:13" x14ac:dyDescent="0.2">
      <c r="B578" s="189">
        <v>45419</v>
      </c>
      <c r="C578" s="77">
        <v>3270.9</v>
      </c>
      <c r="L578" s="190">
        <v>45418</v>
      </c>
      <c r="M578" s="191" t="s">
        <v>877</v>
      </c>
    </row>
    <row r="579" spans="2:13" x14ac:dyDescent="0.2">
      <c r="B579" s="189">
        <v>45418</v>
      </c>
      <c r="C579" s="77">
        <v>3280.15</v>
      </c>
      <c r="L579" s="190">
        <v>45415</v>
      </c>
      <c r="M579" s="191" t="s">
        <v>514</v>
      </c>
    </row>
    <row r="580" spans="2:13" x14ac:dyDescent="0.2">
      <c r="B580" s="189">
        <v>45415</v>
      </c>
      <c r="C580" s="77">
        <v>3533.9</v>
      </c>
      <c r="L580" s="190">
        <v>45414</v>
      </c>
      <c r="M580" s="191" t="s">
        <v>851</v>
      </c>
    </row>
    <row r="581" spans="2:13" x14ac:dyDescent="0.2">
      <c r="B581" s="189">
        <v>45414</v>
      </c>
      <c r="C581" s="77">
        <v>3568.45</v>
      </c>
      <c r="L581" s="190">
        <v>45412</v>
      </c>
      <c r="M581" s="191" t="s">
        <v>878</v>
      </c>
    </row>
    <row r="582" spans="2:13" x14ac:dyDescent="0.2">
      <c r="B582" s="189">
        <v>45412</v>
      </c>
      <c r="C582" s="77">
        <v>3589.25</v>
      </c>
      <c r="L582" s="190">
        <v>45411</v>
      </c>
      <c r="M582" s="191" t="s">
        <v>879</v>
      </c>
    </row>
    <row r="583" spans="2:13" x14ac:dyDescent="0.2">
      <c r="B583" s="189">
        <v>45411</v>
      </c>
      <c r="C583" s="77">
        <v>3604.85</v>
      </c>
      <c r="L583" s="190">
        <v>45408</v>
      </c>
      <c r="M583" s="191" t="s">
        <v>880</v>
      </c>
    </row>
    <row r="584" spans="2:13" x14ac:dyDescent="0.2">
      <c r="B584" s="189">
        <v>45408</v>
      </c>
      <c r="C584" s="77">
        <v>3584.8</v>
      </c>
      <c r="L584" s="190">
        <v>45407</v>
      </c>
      <c r="M584" s="191" t="s">
        <v>797</v>
      </c>
    </row>
    <row r="585" spans="2:13" x14ac:dyDescent="0.2">
      <c r="B585" s="189">
        <v>45407</v>
      </c>
      <c r="C585" s="77">
        <v>3571.1</v>
      </c>
      <c r="L585" s="190">
        <v>45406</v>
      </c>
      <c r="M585" s="191" t="s">
        <v>881</v>
      </c>
    </row>
    <row r="586" spans="2:13" x14ac:dyDescent="0.2">
      <c r="B586" s="189">
        <v>45406</v>
      </c>
      <c r="C586" s="77">
        <v>3609.75</v>
      </c>
      <c r="L586" s="190">
        <v>45405</v>
      </c>
      <c r="M586" s="191" t="s">
        <v>882</v>
      </c>
    </row>
    <row r="587" spans="2:13" x14ac:dyDescent="0.2">
      <c r="B587" s="189">
        <v>45405</v>
      </c>
      <c r="C587" s="77">
        <v>3633</v>
      </c>
      <c r="L587" s="190">
        <v>45404</v>
      </c>
      <c r="M587" s="191" t="s">
        <v>883</v>
      </c>
    </row>
    <row r="588" spans="2:13" x14ac:dyDescent="0.2">
      <c r="B588" s="189">
        <v>45404</v>
      </c>
      <c r="C588" s="77">
        <v>3596.75</v>
      </c>
      <c r="L588" s="190">
        <v>45401</v>
      </c>
      <c r="M588" s="191" t="s">
        <v>884</v>
      </c>
    </row>
    <row r="589" spans="2:13" x14ac:dyDescent="0.2">
      <c r="B589" s="189">
        <v>45401</v>
      </c>
      <c r="C589" s="77">
        <v>3563.05</v>
      </c>
      <c r="L589" s="190">
        <v>45400</v>
      </c>
      <c r="M589" s="191" t="s">
        <v>514</v>
      </c>
    </row>
    <row r="590" spans="2:13" x14ac:dyDescent="0.2">
      <c r="B590" s="189">
        <v>45400</v>
      </c>
      <c r="C590" s="77">
        <v>3525.1</v>
      </c>
      <c r="L590" s="190">
        <v>45398</v>
      </c>
      <c r="M590" s="191" t="s">
        <v>471</v>
      </c>
    </row>
    <row r="591" spans="2:13" x14ac:dyDescent="0.2">
      <c r="B591" s="189">
        <v>45398</v>
      </c>
      <c r="C591" s="77">
        <v>3645.9</v>
      </c>
      <c r="L591" s="190">
        <v>45397</v>
      </c>
      <c r="M591" s="191" t="s">
        <v>885</v>
      </c>
    </row>
    <row r="592" spans="2:13" x14ac:dyDescent="0.2">
      <c r="B592" s="189">
        <v>45397</v>
      </c>
      <c r="C592" s="77">
        <v>3600.6</v>
      </c>
      <c r="L592" s="190">
        <v>45394</v>
      </c>
      <c r="M592" s="191" t="s">
        <v>886</v>
      </c>
    </row>
    <row r="593" spans="2:13" x14ac:dyDescent="0.2">
      <c r="B593" s="189">
        <v>45394</v>
      </c>
      <c r="C593" s="77">
        <v>3619.3</v>
      </c>
      <c r="L593" s="190">
        <v>45392</v>
      </c>
      <c r="M593" s="191" t="s">
        <v>887</v>
      </c>
    </row>
    <row r="594" spans="2:13" x14ac:dyDescent="0.2">
      <c r="B594" s="189">
        <v>45392</v>
      </c>
      <c r="C594" s="77">
        <v>3711.2</v>
      </c>
      <c r="L594" s="190">
        <v>45391</v>
      </c>
      <c r="M594" s="191" t="s">
        <v>888</v>
      </c>
    </row>
    <row r="595" spans="2:13" x14ac:dyDescent="0.2">
      <c r="B595" s="189">
        <v>45391</v>
      </c>
      <c r="C595" s="77">
        <v>3679.35</v>
      </c>
      <c r="L595" s="190">
        <v>45390</v>
      </c>
      <c r="M595" s="191" t="s">
        <v>889</v>
      </c>
    </row>
    <row r="596" spans="2:13" x14ac:dyDescent="0.2">
      <c r="B596" s="189">
        <v>45390</v>
      </c>
      <c r="C596" s="77">
        <v>3748.9</v>
      </c>
      <c r="L596" s="190">
        <v>45387</v>
      </c>
      <c r="M596" s="191" t="s">
        <v>468</v>
      </c>
    </row>
    <row r="597" spans="2:13" x14ac:dyDescent="0.2">
      <c r="B597" s="189">
        <v>45387</v>
      </c>
      <c r="C597" s="77">
        <v>3754.45</v>
      </c>
      <c r="L597" s="190">
        <v>45386</v>
      </c>
      <c r="M597" s="191" t="s">
        <v>436</v>
      </c>
    </row>
    <row r="598" spans="2:13" x14ac:dyDescent="0.2">
      <c r="B598" s="189">
        <v>45386</v>
      </c>
      <c r="C598" s="77">
        <v>3782.75</v>
      </c>
      <c r="L598" s="190">
        <v>45385</v>
      </c>
      <c r="M598" s="191" t="s">
        <v>890</v>
      </c>
    </row>
    <row r="599" spans="2:13" x14ac:dyDescent="0.2">
      <c r="B599" s="189">
        <v>45385</v>
      </c>
      <c r="C599" s="77">
        <v>3712.5</v>
      </c>
      <c r="L599" s="190">
        <v>45384</v>
      </c>
      <c r="M599" s="191" t="s">
        <v>891</v>
      </c>
    </row>
    <row r="600" spans="2:13" x14ac:dyDescent="0.2">
      <c r="B600" s="189">
        <v>45384</v>
      </c>
      <c r="C600" s="77">
        <v>3755.95</v>
      </c>
      <c r="L600" s="190">
        <v>45383</v>
      </c>
      <c r="M600" s="191" t="s">
        <v>892</v>
      </c>
    </row>
    <row r="601" spans="2:13" x14ac:dyDescent="0.2">
      <c r="B601" s="189">
        <v>45383</v>
      </c>
      <c r="C601" s="77">
        <v>3738.4</v>
      </c>
      <c r="L601" s="190">
        <v>45379</v>
      </c>
      <c r="M601" s="191" t="s">
        <v>859</v>
      </c>
    </row>
    <row r="602" spans="2:13" x14ac:dyDescent="0.2">
      <c r="B602" s="189">
        <v>45379</v>
      </c>
      <c r="C602" s="77">
        <v>3801.8</v>
      </c>
      <c r="L602" s="190">
        <v>45378</v>
      </c>
      <c r="M602" s="191" t="s">
        <v>441</v>
      </c>
    </row>
    <row r="603" spans="2:13" x14ac:dyDescent="0.2">
      <c r="B603" s="189">
        <v>45378</v>
      </c>
      <c r="C603" s="77">
        <v>3759.4</v>
      </c>
      <c r="L603" s="190">
        <v>45377</v>
      </c>
      <c r="M603" s="191" t="s">
        <v>792</v>
      </c>
    </row>
    <row r="604" spans="2:13" x14ac:dyDescent="0.2">
      <c r="B604" s="189">
        <v>45377</v>
      </c>
      <c r="C604" s="77">
        <v>3698.2</v>
      </c>
      <c r="L604" s="190">
        <v>45373</v>
      </c>
      <c r="M604" s="191" t="s">
        <v>434</v>
      </c>
    </row>
    <row r="605" spans="2:13" x14ac:dyDescent="0.2">
      <c r="B605" s="189">
        <v>45373</v>
      </c>
      <c r="C605" s="77">
        <v>3706.7</v>
      </c>
      <c r="L605" s="190">
        <v>45372</v>
      </c>
      <c r="M605" s="191" t="s">
        <v>893</v>
      </c>
    </row>
    <row r="606" spans="2:13" x14ac:dyDescent="0.2">
      <c r="B606" s="189">
        <v>45372</v>
      </c>
      <c r="C606" s="77">
        <v>3627.55</v>
      </c>
      <c r="L606" s="190">
        <v>45371</v>
      </c>
      <c r="M606" s="191" t="s">
        <v>894</v>
      </c>
    </row>
    <row r="607" spans="2:13" x14ac:dyDescent="0.2">
      <c r="B607" s="189">
        <v>45371</v>
      </c>
      <c r="C607" s="77">
        <v>3590.5</v>
      </c>
      <c r="L607" s="190">
        <v>45370</v>
      </c>
      <c r="M607" s="191" t="s">
        <v>895</v>
      </c>
    </row>
    <row r="608" spans="2:13" x14ac:dyDescent="0.2">
      <c r="B608" s="189">
        <v>45370</v>
      </c>
      <c r="C608" s="77">
        <v>3583.4</v>
      </c>
      <c r="L608" s="190">
        <v>45369</v>
      </c>
      <c r="M608" s="191" t="s">
        <v>896</v>
      </c>
    </row>
    <row r="609" spans="2:13" x14ac:dyDescent="0.2">
      <c r="B609" s="189">
        <v>45369</v>
      </c>
      <c r="C609" s="77">
        <v>3579.7</v>
      </c>
      <c r="L609" s="190">
        <v>45366</v>
      </c>
      <c r="M609" s="191" t="s">
        <v>764</v>
      </c>
    </row>
    <row r="610" spans="2:13" x14ac:dyDescent="0.2">
      <c r="B610" s="189">
        <v>45366</v>
      </c>
      <c r="C610" s="77">
        <v>3633.2</v>
      </c>
      <c r="L610" s="190">
        <v>45365</v>
      </c>
      <c r="M610" s="191" t="s">
        <v>875</v>
      </c>
    </row>
    <row r="611" spans="2:13" x14ac:dyDescent="0.2">
      <c r="B611" s="189">
        <v>45365</v>
      </c>
      <c r="C611" s="77">
        <v>3640.15</v>
      </c>
      <c r="L611" s="190">
        <v>45364</v>
      </c>
      <c r="M611" s="191" t="s">
        <v>897</v>
      </c>
    </row>
    <row r="612" spans="2:13" x14ac:dyDescent="0.2">
      <c r="B612" s="189">
        <v>45364</v>
      </c>
      <c r="C612" s="77">
        <v>3625.7</v>
      </c>
      <c r="L612" s="190">
        <v>45363</v>
      </c>
      <c r="M612" s="191" t="s">
        <v>898</v>
      </c>
    </row>
    <row r="613" spans="2:13" x14ac:dyDescent="0.2">
      <c r="B613" s="189">
        <v>45363</v>
      </c>
      <c r="C613" s="77">
        <v>3748.8</v>
      </c>
      <c r="L613" s="190">
        <v>45362</v>
      </c>
      <c r="M613" s="191" t="s">
        <v>899</v>
      </c>
    </row>
    <row r="614" spans="2:13" x14ac:dyDescent="0.2">
      <c r="B614" s="189">
        <v>45362</v>
      </c>
      <c r="C614" s="77">
        <v>3750.15</v>
      </c>
      <c r="L614" s="190">
        <v>45358</v>
      </c>
      <c r="M614" s="191" t="s">
        <v>900</v>
      </c>
    </row>
    <row r="615" spans="2:13" x14ac:dyDescent="0.2">
      <c r="B615" s="189">
        <v>45358</v>
      </c>
      <c r="C615" s="77">
        <v>3786.9</v>
      </c>
      <c r="L615" s="190">
        <v>45357</v>
      </c>
      <c r="M615" s="191" t="s">
        <v>901</v>
      </c>
    </row>
    <row r="616" spans="2:13" x14ac:dyDescent="0.2">
      <c r="B616" s="189">
        <v>45357</v>
      </c>
      <c r="C616" s="77">
        <v>3810.75</v>
      </c>
      <c r="L616" s="190">
        <v>45356</v>
      </c>
      <c r="M616" s="191" t="s">
        <v>902</v>
      </c>
    </row>
    <row r="617" spans="2:13" x14ac:dyDescent="0.2">
      <c r="B617" s="189">
        <v>45356</v>
      </c>
      <c r="C617" s="77">
        <v>3750.75</v>
      </c>
      <c r="L617" s="190">
        <v>45355</v>
      </c>
      <c r="M617" s="191" t="s">
        <v>903</v>
      </c>
    </row>
    <row r="618" spans="2:13" x14ac:dyDescent="0.2">
      <c r="B618" s="189">
        <v>45355</v>
      </c>
      <c r="C618" s="77">
        <v>3732.4</v>
      </c>
      <c r="L618" s="190">
        <v>45353</v>
      </c>
      <c r="M618" s="191" t="s">
        <v>904</v>
      </c>
    </row>
    <row r="619" spans="2:13" x14ac:dyDescent="0.2">
      <c r="B619" s="189">
        <v>45353</v>
      </c>
      <c r="C619" s="77">
        <v>3765.95</v>
      </c>
      <c r="L619" s="190">
        <v>45352</v>
      </c>
      <c r="M619" s="191" t="s">
        <v>521</v>
      </c>
    </row>
    <row r="620" spans="2:13" x14ac:dyDescent="0.2">
      <c r="B620" s="189">
        <v>45352</v>
      </c>
      <c r="C620" s="77">
        <v>3765.9</v>
      </c>
      <c r="L620" s="190">
        <v>45351</v>
      </c>
      <c r="M620" s="191" t="s">
        <v>905</v>
      </c>
    </row>
    <row r="621" spans="2:13" x14ac:dyDescent="0.2">
      <c r="B621" s="189">
        <v>45351</v>
      </c>
      <c r="C621" s="77">
        <v>3624.4</v>
      </c>
      <c r="L621" s="190">
        <v>45350</v>
      </c>
      <c r="M621" s="191" t="s">
        <v>906</v>
      </c>
    </row>
    <row r="622" spans="2:13" x14ac:dyDescent="0.2">
      <c r="B622" s="189">
        <v>45350</v>
      </c>
      <c r="C622" s="77">
        <v>3594.7</v>
      </c>
      <c r="L622" s="190">
        <v>45349</v>
      </c>
      <c r="M622" s="191" t="s">
        <v>907</v>
      </c>
    </row>
    <row r="623" spans="2:13" x14ac:dyDescent="0.2">
      <c r="B623" s="189">
        <v>45349</v>
      </c>
      <c r="C623" s="77">
        <v>3653.85</v>
      </c>
      <c r="L623" s="190">
        <v>45348</v>
      </c>
      <c r="M623" s="191" t="s">
        <v>908</v>
      </c>
    </row>
    <row r="624" spans="2:13" x14ac:dyDescent="0.2">
      <c r="B624" s="189">
        <v>45348</v>
      </c>
      <c r="C624" s="77">
        <v>3622.5</v>
      </c>
      <c r="L624" s="190">
        <v>45345</v>
      </c>
      <c r="M624" s="191" t="s">
        <v>909</v>
      </c>
    </row>
    <row r="625" spans="2:13" x14ac:dyDescent="0.2">
      <c r="B625" s="189">
        <v>45345</v>
      </c>
      <c r="C625" s="77">
        <v>3691.95</v>
      </c>
      <c r="L625" s="190">
        <v>45344</v>
      </c>
      <c r="M625" s="191" t="s">
        <v>522</v>
      </c>
    </row>
    <row r="626" spans="2:13" x14ac:dyDescent="0.2">
      <c r="B626" s="189">
        <v>45344</v>
      </c>
      <c r="C626" s="77">
        <v>3652.05</v>
      </c>
      <c r="L626" s="190">
        <v>45343</v>
      </c>
      <c r="M626" s="191" t="s">
        <v>910</v>
      </c>
    </row>
    <row r="627" spans="2:13" x14ac:dyDescent="0.2">
      <c r="B627" s="189">
        <v>45343</v>
      </c>
      <c r="C627" s="77">
        <v>3656.35</v>
      </c>
      <c r="L627" s="190">
        <v>45342</v>
      </c>
      <c r="M627" s="191" t="s">
        <v>911</v>
      </c>
    </row>
    <row r="628" spans="2:13" x14ac:dyDescent="0.2">
      <c r="B628" s="189">
        <v>45342</v>
      </c>
      <c r="C628" s="77">
        <v>3686.7</v>
      </c>
      <c r="L628" s="190">
        <v>45341</v>
      </c>
      <c r="M628" s="191" t="s">
        <v>912</v>
      </c>
    </row>
    <row r="629" spans="2:13" x14ac:dyDescent="0.2">
      <c r="B629" s="189">
        <v>45341</v>
      </c>
      <c r="C629" s="77">
        <v>3695.05</v>
      </c>
      <c r="L629" s="190">
        <v>45338</v>
      </c>
      <c r="M629" s="191" t="s">
        <v>913</v>
      </c>
    </row>
    <row r="630" spans="2:13" x14ac:dyDescent="0.2">
      <c r="B630" s="189">
        <v>45338</v>
      </c>
      <c r="C630" s="77">
        <v>3655.4</v>
      </c>
      <c r="L630" s="190">
        <v>45337</v>
      </c>
      <c r="M630" s="191" t="s">
        <v>914</v>
      </c>
    </row>
    <row r="631" spans="2:13" x14ac:dyDescent="0.2">
      <c r="B631" s="189">
        <v>45337</v>
      </c>
      <c r="C631" s="77">
        <v>3622.05</v>
      </c>
      <c r="L631" s="190">
        <v>45336</v>
      </c>
      <c r="M631" s="191" t="s">
        <v>455</v>
      </c>
    </row>
    <row r="632" spans="2:13" x14ac:dyDescent="0.2">
      <c r="B632" s="189">
        <v>45336</v>
      </c>
      <c r="C632" s="77">
        <v>3585.55</v>
      </c>
      <c r="L632" s="190">
        <v>45335</v>
      </c>
      <c r="M632" s="191" t="s">
        <v>915</v>
      </c>
    </row>
    <row r="633" spans="2:13" x14ac:dyDescent="0.2">
      <c r="B633" s="189">
        <v>45335</v>
      </c>
      <c r="C633" s="77">
        <v>3559.95</v>
      </c>
      <c r="L633" s="190">
        <v>45334</v>
      </c>
      <c r="M633" s="191" t="s">
        <v>916</v>
      </c>
    </row>
    <row r="634" spans="2:13" x14ac:dyDescent="0.2">
      <c r="B634" s="189">
        <v>45334</v>
      </c>
      <c r="C634" s="77">
        <v>3585.25</v>
      </c>
      <c r="L634" s="190">
        <v>45331</v>
      </c>
      <c r="M634" s="191" t="s">
        <v>900</v>
      </c>
    </row>
    <row r="635" spans="2:13" x14ac:dyDescent="0.2">
      <c r="B635" s="189">
        <v>45331</v>
      </c>
      <c r="C635" s="77">
        <v>3591.6</v>
      </c>
      <c r="L635" s="190">
        <v>45330</v>
      </c>
      <c r="M635" s="191" t="s">
        <v>525</v>
      </c>
    </row>
    <row r="636" spans="2:13" x14ac:dyDescent="0.2">
      <c r="B636" s="189">
        <v>45330</v>
      </c>
      <c r="C636" s="77">
        <v>3549.1</v>
      </c>
      <c r="L636" s="190">
        <v>45329</v>
      </c>
      <c r="M636" s="191" t="s">
        <v>917</v>
      </c>
    </row>
    <row r="637" spans="2:13" x14ac:dyDescent="0.2">
      <c r="B637" s="189">
        <v>45329</v>
      </c>
      <c r="C637" s="77">
        <v>3576.5</v>
      </c>
      <c r="L637" s="190">
        <v>45328</v>
      </c>
      <c r="M637" s="191" t="s">
        <v>527</v>
      </c>
    </row>
    <row r="638" spans="2:13" x14ac:dyDescent="0.2">
      <c r="B638" s="189">
        <v>45328</v>
      </c>
      <c r="C638" s="77">
        <v>3559.15</v>
      </c>
      <c r="L638" s="190">
        <v>45327</v>
      </c>
      <c r="M638" s="191" t="s">
        <v>918</v>
      </c>
    </row>
    <row r="639" spans="2:13" x14ac:dyDescent="0.2">
      <c r="B639" s="189">
        <v>45327</v>
      </c>
      <c r="C639" s="77">
        <v>3552.05</v>
      </c>
      <c r="L639" s="190">
        <v>45324</v>
      </c>
      <c r="M639" s="191" t="s">
        <v>919</v>
      </c>
    </row>
    <row r="640" spans="2:13" x14ac:dyDescent="0.2">
      <c r="B640" s="189">
        <v>45324</v>
      </c>
      <c r="C640" s="77">
        <v>3612.4</v>
      </c>
      <c r="L640" s="190">
        <v>45323</v>
      </c>
      <c r="M640" s="191" t="s">
        <v>832</v>
      </c>
    </row>
    <row r="641" spans="2:13" x14ac:dyDescent="0.2">
      <c r="B641" s="189">
        <v>45323</v>
      </c>
      <c r="C641" s="77">
        <v>3627.45</v>
      </c>
      <c r="L641" s="190">
        <v>45322</v>
      </c>
      <c r="M641" s="191" t="s">
        <v>475</v>
      </c>
    </row>
    <row r="642" spans="2:13" x14ac:dyDescent="0.2">
      <c r="B642" s="189">
        <v>45322</v>
      </c>
      <c r="C642" s="77">
        <v>3697.55</v>
      </c>
      <c r="L642" s="190">
        <v>45321</v>
      </c>
      <c r="M642" s="191" t="s">
        <v>920</v>
      </c>
    </row>
    <row r="643" spans="2:13" x14ac:dyDescent="0.2">
      <c r="B643" s="189">
        <v>45321</v>
      </c>
      <c r="C643" s="77">
        <v>3735.75</v>
      </c>
      <c r="L643" s="190">
        <v>45320</v>
      </c>
      <c r="M643" s="191" t="s">
        <v>921</v>
      </c>
    </row>
    <row r="644" spans="2:13" x14ac:dyDescent="0.2">
      <c r="B644" s="189">
        <v>45320</v>
      </c>
      <c r="C644" s="77">
        <v>3866.65</v>
      </c>
      <c r="L644" s="190">
        <v>45316</v>
      </c>
      <c r="M644" s="191" t="s">
        <v>922</v>
      </c>
    </row>
    <row r="645" spans="2:13" x14ac:dyDescent="0.2">
      <c r="B645" s="189">
        <v>45316</v>
      </c>
      <c r="C645" s="77">
        <v>3770.2</v>
      </c>
      <c r="L645" s="190">
        <v>45315</v>
      </c>
      <c r="M645" s="191" t="s">
        <v>923</v>
      </c>
    </row>
    <row r="646" spans="2:13" x14ac:dyDescent="0.2">
      <c r="B646" s="189">
        <v>45315</v>
      </c>
      <c r="C646" s="77">
        <v>3767.85</v>
      </c>
      <c r="L646" s="190">
        <v>45314</v>
      </c>
      <c r="M646" s="191" t="s">
        <v>455</v>
      </c>
    </row>
    <row r="647" spans="2:13" x14ac:dyDescent="0.2">
      <c r="B647" s="189">
        <v>45314</v>
      </c>
      <c r="C647" s="77">
        <v>3739.65</v>
      </c>
      <c r="L647" s="190">
        <v>45311</v>
      </c>
      <c r="M647" s="191" t="s">
        <v>924</v>
      </c>
    </row>
    <row r="648" spans="2:13" x14ac:dyDescent="0.2">
      <c r="B648" s="189">
        <v>45311</v>
      </c>
      <c r="C648" s="77">
        <v>3784.7</v>
      </c>
      <c r="L648" s="190">
        <v>45310</v>
      </c>
      <c r="M648" s="191" t="s">
        <v>925</v>
      </c>
    </row>
    <row r="649" spans="2:13" x14ac:dyDescent="0.2">
      <c r="B649" s="189">
        <v>45310</v>
      </c>
      <c r="C649" s="77">
        <v>3810.6</v>
      </c>
      <c r="L649" s="190">
        <v>45309</v>
      </c>
      <c r="M649" s="191" t="s">
        <v>875</v>
      </c>
    </row>
    <row r="650" spans="2:13" x14ac:dyDescent="0.2">
      <c r="B650" s="189">
        <v>45309</v>
      </c>
      <c r="C650" s="77">
        <v>3734.7</v>
      </c>
      <c r="L650" s="190">
        <v>45308</v>
      </c>
      <c r="M650" s="191" t="s">
        <v>926</v>
      </c>
    </row>
    <row r="651" spans="2:13" x14ac:dyDescent="0.2">
      <c r="B651" s="189">
        <v>45308</v>
      </c>
      <c r="C651" s="77">
        <v>3830.05</v>
      </c>
      <c r="L651" s="190">
        <v>45307</v>
      </c>
      <c r="M651" s="191" t="s">
        <v>433</v>
      </c>
    </row>
    <row r="652" spans="2:13" x14ac:dyDescent="0.2">
      <c r="B652" s="189">
        <v>45307</v>
      </c>
      <c r="C652" s="77">
        <v>3820.3</v>
      </c>
      <c r="L652" s="190">
        <v>45306</v>
      </c>
      <c r="M652" s="191" t="s">
        <v>927</v>
      </c>
    </row>
    <row r="653" spans="2:13" x14ac:dyDescent="0.2">
      <c r="B653" s="189">
        <v>45306</v>
      </c>
      <c r="C653" s="77">
        <v>3758.85</v>
      </c>
      <c r="L653" s="190">
        <v>45303</v>
      </c>
      <c r="M653" s="191" t="s">
        <v>928</v>
      </c>
    </row>
    <row r="654" spans="2:13" x14ac:dyDescent="0.2">
      <c r="B654" s="189">
        <v>45303</v>
      </c>
      <c r="C654" s="77">
        <v>3726</v>
      </c>
      <c r="L654" s="190">
        <v>45302</v>
      </c>
      <c r="M654" s="191" t="s">
        <v>929</v>
      </c>
    </row>
    <row r="655" spans="2:13" x14ac:dyDescent="0.2">
      <c r="B655" s="189">
        <v>45302</v>
      </c>
      <c r="C655" s="77">
        <v>3698.6</v>
      </c>
      <c r="L655" s="190">
        <v>45301</v>
      </c>
      <c r="M655" s="191" t="s">
        <v>930</v>
      </c>
    </row>
    <row r="656" spans="2:13" x14ac:dyDescent="0.2">
      <c r="B656" s="189">
        <v>45301</v>
      </c>
      <c r="C656" s="77">
        <v>3714.45</v>
      </c>
      <c r="L656" s="190">
        <v>45300</v>
      </c>
      <c r="M656" s="191" t="s">
        <v>931</v>
      </c>
    </row>
    <row r="657" spans="2:13" x14ac:dyDescent="0.2">
      <c r="B657" s="189">
        <v>45300</v>
      </c>
      <c r="C657" s="77">
        <v>3694</v>
      </c>
      <c r="L657" s="190">
        <v>45299</v>
      </c>
      <c r="M657" s="191" t="s">
        <v>932</v>
      </c>
    </row>
    <row r="658" spans="2:13" x14ac:dyDescent="0.2">
      <c r="B658" s="189">
        <v>45299</v>
      </c>
      <c r="C658" s="77">
        <v>3706.05</v>
      </c>
      <c r="L658" s="190">
        <v>45296</v>
      </c>
      <c r="M658" s="191" t="s">
        <v>933</v>
      </c>
    </row>
    <row r="659" spans="2:13" x14ac:dyDescent="0.2">
      <c r="B659" s="189">
        <v>45296</v>
      </c>
      <c r="C659" s="77">
        <v>3712.55</v>
      </c>
      <c r="L659" s="190">
        <v>45295</v>
      </c>
      <c r="M659" s="191" t="s">
        <v>934</v>
      </c>
    </row>
    <row r="660" spans="2:13" x14ac:dyDescent="0.2">
      <c r="B660" s="189">
        <v>45295</v>
      </c>
      <c r="C660" s="77">
        <v>3719.7</v>
      </c>
      <c r="L660" s="190">
        <v>45294</v>
      </c>
      <c r="M660" s="191" t="s">
        <v>935</v>
      </c>
    </row>
    <row r="661" spans="2:13" x14ac:dyDescent="0.2">
      <c r="B661" s="189">
        <v>45294</v>
      </c>
      <c r="C661" s="77">
        <v>3693.05</v>
      </c>
      <c r="L661" s="190">
        <v>45293</v>
      </c>
      <c r="M661" s="191" t="s">
        <v>936</v>
      </c>
    </row>
    <row r="662" spans="2:13" x14ac:dyDescent="0.2">
      <c r="B662" s="189">
        <v>45293</v>
      </c>
      <c r="C662" s="77">
        <v>3698.25</v>
      </c>
      <c r="L662" s="190">
        <v>45292</v>
      </c>
      <c r="M662" s="191" t="s">
        <v>937</v>
      </c>
    </row>
    <row r="663" spans="2:13" x14ac:dyDescent="0.2">
      <c r="B663" s="189">
        <v>45292</v>
      </c>
      <c r="C663" s="77">
        <v>3677.15</v>
      </c>
      <c r="L663" s="190">
        <v>45289</v>
      </c>
      <c r="M663" s="191" t="s">
        <v>938</v>
      </c>
    </row>
    <row r="664" spans="2:13" x14ac:dyDescent="0.2">
      <c r="B664" s="189">
        <v>45289</v>
      </c>
      <c r="C664" s="77">
        <v>3675.45</v>
      </c>
      <c r="L664" s="190">
        <v>45288</v>
      </c>
      <c r="M664" s="191" t="s">
        <v>897</v>
      </c>
    </row>
    <row r="665" spans="2:13" x14ac:dyDescent="0.2">
      <c r="B665" s="189">
        <v>45288</v>
      </c>
      <c r="C665" s="77">
        <v>3715.1</v>
      </c>
      <c r="L665" s="190">
        <v>45287</v>
      </c>
      <c r="M665" s="191" t="s">
        <v>939</v>
      </c>
    </row>
    <row r="666" spans="2:13" x14ac:dyDescent="0.2">
      <c r="B666" s="189">
        <v>45287</v>
      </c>
      <c r="C666" s="77">
        <v>3689.25</v>
      </c>
      <c r="L666" s="190">
        <v>45286</v>
      </c>
      <c r="M666" s="191" t="s">
        <v>940</v>
      </c>
    </row>
    <row r="667" spans="2:13" x14ac:dyDescent="0.2">
      <c r="B667" s="189">
        <v>45286</v>
      </c>
      <c r="C667" s="77">
        <v>3656.7</v>
      </c>
      <c r="L667" s="190">
        <v>45282</v>
      </c>
      <c r="M667" s="191" t="s">
        <v>941</v>
      </c>
    </row>
    <row r="668" spans="2:13" x14ac:dyDescent="0.2">
      <c r="B668" s="189">
        <v>45282</v>
      </c>
      <c r="C668" s="77">
        <v>3627.35</v>
      </c>
      <c r="L668" s="190">
        <v>45281</v>
      </c>
      <c r="M668" s="191" t="s">
        <v>942</v>
      </c>
    </row>
    <row r="669" spans="2:13" x14ac:dyDescent="0.2">
      <c r="B669" s="189">
        <v>45281</v>
      </c>
      <c r="C669" s="77">
        <v>3580</v>
      </c>
      <c r="L669" s="190">
        <v>45280</v>
      </c>
      <c r="M669" s="191" t="s">
        <v>943</v>
      </c>
    </row>
    <row r="670" spans="2:13" x14ac:dyDescent="0.2">
      <c r="B670" s="189">
        <v>45280</v>
      </c>
      <c r="C670" s="77">
        <v>3554.1</v>
      </c>
      <c r="L670" s="190">
        <v>45279</v>
      </c>
      <c r="M670" s="191" t="s">
        <v>944</v>
      </c>
    </row>
    <row r="671" spans="2:13" x14ac:dyDescent="0.2">
      <c r="B671" s="189">
        <v>45279</v>
      </c>
      <c r="C671" s="77">
        <v>3610.45</v>
      </c>
      <c r="L671" s="190">
        <v>45278</v>
      </c>
      <c r="M671" s="191" t="s">
        <v>945</v>
      </c>
    </row>
    <row r="672" spans="2:13" x14ac:dyDescent="0.2">
      <c r="B672" s="189">
        <v>45278</v>
      </c>
      <c r="C672" s="77">
        <v>3619.6</v>
      </c>
      <c r="L672" s="190">
        <v>45275</v>
      </c>
      <c r="M672" s="191" t="s">
        <v>946</v>
      </c>
    </row>
    <row r="673" spans="2:13" x14ac:dyDescent="0.2">
      <c r="B673" s="189">
        <v>45275</v>
      </c>
      <c r="C673" s="77">
        <v>3600.55</v>
      </c>
      <c r="L673" s="190">
        <v>45274</v>
      </c>
      <c r="M673" s="191" t="s">
        <v>947</v>
      </c>
    </row>
    <row r="674" spans="2:13" x14ac:dyDescent="0.2">
      <c r="B674" s="189">
        <v>45274</v>
      </c>
      <c r="C674" s="77">
        <v>3591.4</v>
      </c>
      <c r="L674" s="190">
        <v>45273</v>
      </c>
      <c r="M674" s="191" t="s">
        <v>948</v>
      </c>
    </row>
    <row r="675" spans="2:13" x14ac:dyDescent="0.2">
      <c r="B675" s="189">
        <v>45273</v>
      </c>
      <c r="C675" s="77">
        <v>3602.35</v>
      </c>
      <c r="L675" s="190">
        <v>45272</v>
      </c>
      <c r="M675" s="191" t="s">
        <v>470</v>
      </c>
    </row>
    <row r="676" spans="2:13" x14ac:dyDescent="0.2">
      <c r="B676" s="189">
        <v>45272</v>
      </c>
      <c r="C676" s="77">
        <v>3571.4</v>
      </c>
      <c r="L676" s="190">
        <v>45271</v>
      </c>
      <c r="M676" s="191" t="s">
        <v>949</v>
      </c>
    </row>
    <row r="677" spans="2:13" x14ac:dyDescent="0.2">
      <c r="B677" s="189">
        <v>45271</v>
      </c>
      <c r="C677" s="77">
        <v>3630.5</v>
      </c>
      <c r="L677" s="190">
        <v>45268</v>
      </c>
      <c r="M677" s="191" t="s">
        <v>576</v>
      </c>
    </row>
    <row r="678" spans="2:13" x14ac:dyDescent="0.2">
      <c r="B678" s="189">
        <v>45268</v>
      </c>
      <c r="C678" s="77">
        <v>3634.65</v>
      </c>
      <c r="L678" s="190">
        <v>45267</v>
      </c>
      <c r="M678" s="191" t="s">
        <v>950</v>
      </c>
    </row>
    <row r="679" spans="2:13" x14ac:dyDescent="0.2">
      <c r="B679" s="189">
        <v>45267</v>
      </c>
      <c r="C679" s="77">
        <v>3585.4</v>
      </c>
      <c r="L679" s="190">
        <v>45266</v>
      </c>
      <c r="M679" s="191" t="s">
        <v>951</v>
      </c>
    </row>
    <row r="680" spans="2:13" x14ac:dyDescent="0.2">
      <c r="B680" s="189">
        <v>45266</v>
      </c>
      <c r="C680" s="77">
        <v>3546.9</v>
      </c>
      <c r="L680" s="190">
        <v>45265</v>
      </c>
      <c r="M680" s="191" t="s">
        <v>952</v>
      </c>
    </row>
    <row r="681" spans="2:13" x14ac:dyDescent="0.2">
      <c r="B681" s="189">
        <v>45265</v>
      </c>
      <c r="C681" s="77">
        <v>3545.3</v>
      </c>
      <c r="L681" s="190">
        <v>45264</v>
      </c>
      <c r="M681" s="191" t="s">
        <v>953</v>
      </c>
    </row>
    <row r="682" spans="2:13" x14ac:dyDescent="0.2">
      <c r="B682" s="189">
        <v>45264</v>
      </c>
      <c r="C682" s="77">
        <v>3488.4</v>
      </c>
      <c r="L682" s="190">
        <v>45261</v>
      </c>
      <c r="M682" s="191" t="s">
        <v>954</v>
      </c>
    </row>
    <row r="683" spans="2:13" x14ac:dyDescent="0.2">
      <c r="B683" s="189">
        <v>45261</v>
      </c>
      <c r="C683" s="77">
        <v>3489.5</v>
      </c>
      <c r="L683" s="190">
        <v>45260</v>
      </c>
      <c r="M683" s="191" t="s">
        <v>608</v>
      </c>
    </row>
    <row r="684" spans="2:13" x14ac:dyDescent="0.2">
      <c r="B684" s="189">
        <v>45260</v>
      </c>
      <c r="C684" s="77">
        <v>3490.6</v>
      </c>
      <c r="L684" s="190">
        <v>45259</v>
      </c>
      <c r="M684" s="191" t="s">
        <v>955</v>
      </c>
    </row>
    <row r="685" spans="2:13" x14ac:dyDescent="0.2">
      <c r="B685" s="189">
        <v>45259</v>
      </c>
      <c r="C685" s="77">
        <v>3429.3</v>
      </c>
      <c r="L685" s="190">
        <v>45258</v>
      </c>
      <c r="M685" s="191" t="s">
        <v>956</v>
      </c>
    </row>
    <row r="686" spans="2:13" x14ac:dyDescent="0.2">
      <c r="B686" s="189">
        <v>45258</v>
      </c>
      <c r="C686" s="77">
        <v>3442.4</v>
      </c>
      <c r="L686" s="190">
        <v>45254</v>
      </c>
      <c r="M686" s="191" t="s">
        <v>957</v>
      </c>
    </row>
    <row r="687" spans="2:13" x14ac:dyDescent="0.2">
      <c r="B687" s="189">
        <v>45254</v>
      </c>
      <c r="C687" s="77">
        <v>3396.95</v>
      </c>
      <c r="L687" s="190">
        <v>45253</v>
      </c>
      <c r="M687" s="191" t="s">
        <v>958</v>
      </c>
    </row>
    <row r="688" spans="2:13" x14ac:dyDescent="0.2">
      <c r="B688" s="189">
        <v>45253</v>
      </c>
      <c r="C688" s="77">
        <v>3408.4</v>
      </c>
      <c r="L688" s="190">
        <v>45252</v>
      </c>
      <c r="M688" s="191" t="s">
        <v>959</v>
      </c>
    </row>
    <row r="689" spans="2:13" x14ac:dyDescent="0.2">
      <c r="B689" s="189">
        <v>45252</v>
      </c>
      <c r="C689" s="77">
        <v>3429.85</v>
      </c>
      <c r="L689" s="190">
        <v>45251</v>
      </c>
      <c r="M689" s="191" t="s">
        <v>518</v>
      </c>
    </row>
    <row r="690" spans="2:13" x14ac:dyDescent="0.2">
      <c r="B690" s="189">
        <v>45251</v>
      </c>
      <c r="C690" s="77">
        <v>3394.45</v>
      </c>
      <c r="L690" s="190">
        <v>45250</v>
      </c>
      <c r="M690" s="191" t="s">
        <v>960</v>
      </c>
    </row>
    <row r="691" spans="2:13" x14ac:dyDescent="0.2">
      <c r="B691" s="189">
        <v>45250</v>
      </c>
      <c r="C691" s="77">
        <v>3345.85</v>
      </c>
      <c r="L691" s="190">
        <v>45247</v>
      </c>
      <c r="M691" s="191" t="s">
        <v>961</v>
      </c>
    </row>
    <row r="692" spans="2:13" x14ac:dyDescent="0.2">
      <c r="B692" s="189">
        <v>45247</v>
      </c>
      <c r="C692" s="77">
        <v>3338.85</v>
      </c>
      <c r="L692" s="190">
        <v>45246</v>
      </c>
      <c r="M692" s="191" t="s">
        <v>563</v>
      </c>
    </row>
    <row r="693" spans="2:13" x14ac:dyDescent="0.2">
      <c r="B693" s="189">
        <v>45246</v>
      </c>
      <c r="C693" s="77">
        <v>3335.95</v>
      </c>
      <c r="L693" s="190">
        <v>45245</v>
      </c>
      <c r="M693" s="191" t="s">
        <v>962</v>
      </c>
    </row>
    <row r="694" spans="2:13" x14ac:dyDescent="0.2">
      <c r="B694" s="189">
        <v>45245</v>
      </c>
      <c r="C694" s="77">
        <v>3295.95</v>
      </c>
      <c r="L694" s="190">
        <v>45243</v>
      </c>
      <c r="M694" s="191" t="s">
        <v>963</v>
      </c>
    </row>
    <row r="695" spans="2:13" x14ac:dyDescent="0.2">
      <c r="B695" s="189">
        <v>45243</v>
      </c>
      <c r="C695" s="77">
        <v>3264.75</v>
      </c>
      <c r="L695" s="190">
        <v>45242</v>
      </c>
      <c r="M695" s="191" t="s">
        <v>964</v>
      </c>
    </row>
    <row r="696" spans="2:13" x14ac:dyDescent="0.2">
      <c r="B696" s="189">
        <v>45242</v>
      </c>
      <c r="C696" s="77">
        <v>3280.6</v>
      </c>
      <c r="L696" s="190">
        <v>45240</v>
      </c>
      <c r="M696" s="191" t="s">
        <v>433</v>
      </c>
    </row>
    <row r="697" spans="2:13" x14ac:dyDescent="0.2">
      <c r="B697" s="189">
        <v>45240</v>
      </c>
      <c r="C697" s="77">
        <v>3256.35</v>
      </c>
      <c r="L697" s="190">
        <v>45239</v>
      </c>
      <c r="M697" s="191" t="s">
        <v>441</v>
      </c>
    </row>
    <row r="698" spans="2:13" x14ac:dyDescent="0.2">
      <c r="B698" s="189">
        <v>45239</v>
      </c>
      <c r="C698" s="77">
        <v>3283.75</v>
      </c>
      <c r="L698" s="190">
        <v>45238</v>
      </c>
      <c r="M698" s="191" t="s">
        <v>965</v>
      </c>
    </row>
    <row r="699" spans="2:13" x14ac:dyDescent="0.2">
      <c r="B699" s="189">
        <v>45238</v>
      </c>
      <c r="C699" s="77">
        <v>3311.85</v>
      </c>
      <c r="L699" s="190">
        <v>45237</v>
      </c>
      <c r="M699" s="191" t="s">
        <v>966</v>
      </c>
    </row>
    <row r="700" spans="2:13" x14ac:dyDescent="0.2">
      <c r="B700" s="189">
        <v>45237</v>
      </c>
      <c r="C700" s="77">
        <v>3270.2</v>
      </c>
      <c r="L700" s="190">
        <v>45236</v>
      </c>
      <c r="M700" s="191" t="s">
        <v>449</v>
      </c>
    </row>
    <row r="701" spans="2:13" x14ac:dyDescent="0.2">
      <c r="B701" s="189">
        <v>45236</v>
      </c>
      <c r="C701" s="77">
        <v>3267.05</v>
      </c>
      <c r="L701" s="190">
        <v>45233</v>
      </c>
      <c r="M701" s="191" t="s">
        <v>569</v>
      </c>
    </row>
    <row r="702" spans="2:13" x14ac:dyDescent="0.2">
      <c r="B702" s="189">
        <v>45233</v>
      </c>
      <c r="C702" s="77">
        <v>3274.5</v>
      </c>
      <c r="L702" s="190">
        <v>45232</v>
      </c>
      <c r="M702" s="191" t="s">
        <v>967</v>
      </c>
    </row>
    <row r="703" spans="2:13" x14ac:dyDescent="0.2">
      <c r="B703" s="189">
        <v>45232</v>
      </c>
      <c r="C703" s="77">
        <v>3201.5</v>
      </c>
      <c r="L703" s="190">
        <v>45231</v>
      </c>
      <c r="M703" s="191" t="s">
        <v>968</v>
      </c>
    </row>
    <row r="704" spans="2:13" x14ac:dyDescent="0.2">
      <c r="B704" s="189">
        <v>45231</v>
      </c>
      <c r="C704" s="77">
        <v>3173.4</v>
      </c>
      <c r="L704" s="190">
        <v>45230</v>
      </c>
      <c r="M704" s="191" t="s">
        <v>460</v>
      </c>
    </row>
    <row r="705" spans="2:13" x14ac:dyDescent="0.2">
      <c r="B705" s="189">
        <v>45230</v>
      </c>
      <c r="C705" s="77">
        <v>3189.65</v>
      </c>
      <c r="L705" s="190">
        <v>45229</v>
      </c>
      <c r="M705" s="191" t="s">
        <v>969</v>
      </c>
    </row>
    <row r="706" spans="2:13" x14ac:dyDescent="0.2">
      <c r="B706" s="189">
        <v>45229</v>
      </c>
      <c r="C706" s="77">
        <v>3116.45</v>
      </c>
      <c r="L706" s="190">
        <v>45226</v>
      </c>
      <c r="M706" s="191" t="s">
        <v>455</v>
      </c>
    </row>
    <row r="707" spans="2:13" x14ac:dyDescent="0.2">
      <c r="B707" s="189">
        <v>45226</v>
      </c>
      <c r="C707" s="77">
        <v>3120.7</v>
      </c>
      <c r="L707" s="190">
        <v>45225</v>
      </c>
      <c r="M707" s="191" t="s">
        <v>471</v>
      </c>
    </row>
    <row r="708" spans="2:13" x14ac:dyDescent="0.2">
      <c r="B708" s="189">
        <v>45225</v>
      </c>
      <c r="C708" s="77">
        <v>3100.8</v>
      </c>
      <c r="L708" s="190">
        <v>45224</v>
      </c>
      <c r="M708" s="191" t="s">
        <v>970</v>
      </c>
    </row>
    <row r="709" spans="2:13" x14ac:dyDescent="0.2">
      <c r="B709" s="189">
        <v>45224</v>
      </c>
      <c r="C709" s="77">
        <v>3187.85</v>
      </c>
      <c r="L709" s="190">
        <v>45222</v>
      </c>
      <c r="M709" s="191" t="s">
        <v>971</v>
      </c>
    </row>
    <row r="710" spans="2:13" x14ac:dyDescent="0.2">
      <c r="B710" s="189">
        <v>45222</v>
      </c>
      <c r="C710" s="77">
        <v>3219.75</v>
      </c>
      <c r="L710" s="190">
        <v>45219</v>
      </c>
      <c r="M710" s="191" t="s">
        <v>972</v>
      </c>
    </row>
    <row r="711" spans="2:13" x14ac:dyDescent="0.2">
      <c r="B711" s="189">
        <v>45219</v>
      </c>
      <c r="C711" s="77">
        <v>3266.2</v>
      </c>
      <c r="L711" s="190">
        <v>45218</v>
      </c>
      <c r="M711" s="191" t="s">
        <v>973</v>
      </c>
    </row>
    <row r="712" spans="2:13" x14ac:dyDescent="0.2">
      <c r="B712" s="189">
        <v>45218</v>
      </c>
      <c r="C712" s="77">
        <v>3284.65</v>
      </c>
      <c r="L712" s="190">
        <v>45217</v>
      </c>
      <c r="M712" s="191" t="s">
        <v>974</v>
      </c>
    </row>
    <row r="713" spans="2:13" x14ac:dyDescent="0.2">
      <c r="B713" s="189">
        <v>45217</v>
      </c>
      <c r="C713" s="77">
        <v>3282.75</v>
      </c>
      <c r="L713" s="190">
        <v>45216</v>
      </c>
      <c r="M713" s="191" t="s">
        <v>975</v>
      </c>
    </row>
    <row r="714" spans="2:13" x14ac:dyDescent="0.2">
      <c r="B714" s="189">
        <v>45216</v>
      </c>
      <c r="C714" s="77">
        <v>3308.45</v>
      </c>
      <c r="L714" s="190">
        <v>45215</v>
      </c>
      <c r="M714" s="191" t="s">
        <v>976</v>
      </c>
    </row>
    <row r="715" spans="2:13" x14ac:dyDescent="0.2">
      <c r="B715" s="189">
        <v>45215</v>
      </c>
      <c r="C715" s="77">
        <v>3301.4</v>
      </c>
      <c r="L715" s="190">
        <v>45212</v>
      </c>
      <c r="M715" s="191" t="s">
        <v>977</v>
      </c>
    </row>
    <row r="716" spans="2:13" x14ac:dyDescent="0.2">
      <c r="B716" s="189">
        <v>45212</v>
      </c>
      <c r="C716" s="77">
        <v>3283.75</v>
      </c>
      <c r="L716" s="190">
        <v>45211</v>
      </c>
      <c r="M716" s="191" t="s">
        <v>978</v>
      </c>
    </row>
    <row r="717" spans="2:13" x14ac:dyDescent="0.2">
      <c r="B717" s="189">
        <v>45211</v>
      </c>
      <c r="C717" s="77">
        <v>3285</v>
      </c>
      <c r="L717" s="190">
        <v>45210</v>
      </c>
      <c r="M717" s="191" t="s">
        <v>979</v>
      </c>
    </row>
    <row r="718" spans="2:13" x14ac:dyDescent="0.2">
      <c r="B718" s="189">
        <v>45210</v>
      </c>
      <c r="C718" s="77">
        <v>3280.5</v>
      </c>
      <c r="L718" s="190">
        <v>45209</v>
      </c>
      <c r="M718" s="191" t="s">
        <v>980</v>
      </c>
    </row>
    <row r="719" spans="2:13" x14ac:dyDescent="0.2">
      <c r="B719" s="189">
        <v>45209</v>
      </c>
      <c r="C719" s="77">
        <v>3269.2</v>
      </c>
      <c r="L719" s="190">
        <v>45208</v>
      </c>
      <c r="M719" s="191" t="s">
        <v>981</v>
      </c>
    </row>
    <row r="720" spans="2:13" x14ac:dyDescent="0.2">
      <c r="B720" s="189">
        <v>45208</v>
      </c>
      <c r="C720" s="77">
        <v>3267.5</v>
      </c>
      <c r="L720" s="190">
        <v>45205</v>
      </c>
      <c r="M720" s="191" t="s">
        <v>419</v>
      </c>
    </row>
    <row r="721" spans="2:13" x14ac:dyDescent="0.2">
      <c r="B721" s="189">
        <v>45205</v>
      </c>
      <c r="C721" s="77">
        <v>3309.75</v>
      </c>
      <c r="L721" s="190">
        <v>45204</v>
      </c>
      <c r="M721" s="191" t="s">
        <v>430</v>
      </c>
    </row>
    <row r="722" spans="2:13" x14ac:dyDescent="0.2">
      <c r="B722" s="189">
        <v>45204</v>
      </c>
      <c r="C722" s="77">
        <v>3216.5</v>
      </c>
      <c r="L722" s="190">
        <v>45203</v>
      </c>
      <c r="M722" s="191" t="s">
        <v>982</v>
      </c>
    </row>
    <row r="723" spans="2:13" x14ac:dyDescent="0.2">
      <c r="B723" s="189">
        <v>45203</v>
      </c>
      <c r="C723" s="77">
        <v>3166.65</v>
      </c>
      <c r="L723" s="190">
        <v>45202</v>
      </c>
      <c r="M723" s="191" t="s">
        <v>525</v>
      </c>
    </row>
    <row r="724" spans="2:13" x14ac:dyDescent="0.2">
      <c r="B724" s="189">
        <v>45202</v>
      </c>
      <c r="C724" s="77">
        <v>3196.25</v>
      </c>
      <c r="L724" s="190">
        <v>45198</v>
      </c>
      <c r="M724" s="191" t="s">
        <v>983</v>
      </c>
    </row>
    <row r="725" spans="2:13" x14ac:dyDescent="0.2">
      <c r="B725" s="189">
        <v>45198</v>
      </c>
      <c r="C725" s="77">
        <v>3148.8</v>
      </c>
      <c r="L725" s="190">
        <v>45197</v>
      </c>
      <c r="M725" s="191" t="s">
        <v>764</v>
      </c>
    </row>
    <row r="726" spans="2:13" x14ac:dyDescent="0.2">
      <c r="B726" s="189">
        <v>45197</v>
      </c>
      <c r="C726" s="77">
        <v>3157.25</v>
      </c>
      <c r="L726" s="190">
        <v>45196</v>
      </c>
      <c r="M726" s="191" t="s">
        <v>496</v>
      </c>
    </row>
    <row r="727" spans="2:13" x14ac:dyDescent="0.2">
      <c r="B727" s="189">
        <v>45196</v>
      </c>
      <c r="C727" s="77">
        <v>3214.55</v>
      </c>
      <c r="L727" s="190">
        <v>45195</v>
      </c>
      <c r="M727" s="191" t="s">
        <v>455</v>
      </c>
    </row>
    <row r="728" spans="2:13" x14ac:dyDescent="0.2">
      <c r="B728" s="189">
        <v>45195</v>
      </c>
      <c r="C728" s="77">
        <v>3262.6</v>
      </c>
      <c r="L728" s="190">
        <v>45194</v>
      </c>
      <c r="M728" s="191" t="s">
        <v>984</v>
      </c>
    </row>
    <row r="729" spans="2:13" x14ac:dyDescent="0.2">
      <c r="B729" s="189">
        <v>45194</v>
      </c>
      <c r="C729" s="77">
        <v>3283.95</v>
      </c>
      <c r="L729" s="190">
        <v>45191</v>
      </c>
      <c r="M729" s="191" t="s">
        <v>522</v>
      </c>
    </row>
    <row r="730" spans="2:13" x14ac:dyDescent="0.2">
      <c r="B730" s="189">
        <v>45191</v>
      </c>
      <c r="C730" s="77">
        <v>3274.5</v>
      </c>
      <c r="L730" s="190">
        <v>45190</v>
      </c>
      <c r="M730" s="191" t="s">
        <v>548</v>
      </c>
    </row>
    <row r="731" spans="2:13" x14ac:dyDescent="0.2">
      <c r="B731" s="189">
        <v>45190</v>
      </c>
      <c r="C731" s="77">
        <v>3304.5</v>
      </c>
      <c r="L731" s="190">
        <v>45189</v>
      </c>
      <c r="M731" s="191" t="s">
        <v>932</v>
      </c>
    </row>
    <row r="732" spans="2:13" x14ac:dyDescent="0.2">
      <c r="B732" s="189">
        <v>45189</v>
      </c>
      <c r="C732" s="77">
        <v>3306.65</v>
      </c>
      <c r="L732" s="190">
        <v>45187</v>
      </c>
      <c r="M732" s="191" t="s">
        <v>985</v>
      </c>
    </row>
    <row r="733" spans="2:13" x14ac:dyDescent="0.2">
      <c r="B733" s="189">
        <v>45187</v>
      </c>
      <c r="C733" s="77">
        <v>3339.5</v>
      </c>
      <c r="L733" s="190">
        <v>45184</v>
      </c>
      <c r="M733" s="191" t="s">
        <v>744</v>
      </c>
    </row>
    <row r="734" spans="2:13" x14ac:dyDescent="0.2">
      <c r="B734" s="189">
        <v>45184</v>
      </c>
      <c r="C734" s="77">
        <v>3248.6</v>
      </c>
      <c r="L734" s="190">
        <v>45183</v>
      </c>
      <c r="M734" s="191" t="s">
        <v>591</v>
      </c>
    </row>
    <row r="735" spans="2:13" x14ac:dyDescent="0.2">
      <c r="B735" s="189">
        <v>45183</v>
      </c>
      <c r="C735" s="77">
        <v>3261.35</v>
      </c>
      <c r="L735" s="190">
        <v>45182</v>
      </c>
      <c r="M735" s="191" t="s">
        <v>986</v>
      </c>
    </row>
    <row r="736" spans="2:13" x14ac:dyDescent="0.2">
      <c r="B736" s="189">
        <v>45182</v>
      </c>
      <c r="C736" s="77">
        <v>3263.2</v>
      </c>
      <c r="L736" s="190">
        <v>45181</v>
      </c>
      <c r="M736" s="191" t="s">
        <v>987</v>
      </c>
    </row>
    <row r="737" spans="2:13" x14ac:dyDescent="0.2">
      <c r="B737" s="189">
        <v>45181</v>
      </c>
      <c r="C737" s="77">
        <v>3185.8</v>
      </c>
      <c r="L737" s="190">
        <v>45180</v>
      </c>
      <c r="M737" s="191" t="s">
        <v>988</v>
      </c>
    </row>
    <row r="738" spans="2:13" x14ac:dyDescent="0.2">
      <c r="B738" s="189">
        <v>45180</v>
      </c>
      <c r="C738" s="77">
        <v>3213.3</v>
      </c>
      <c r="L738" s="190">
        <v>45177</v>
      </c>
      <c r="M738" s="191" t="s">
        <v>989</v>
      </c>
    </row>
    <row r="739" spans="2:13" x14ac:dyDescent="0.2">
      <c r="B739" s="189">
        <v>45177</v>
      </c>
      <c r="C739" s="77">
        <v>3199.1</v>
      </c>
      <c r="L739" s="190">
        <v>45176</v>
      </c>
      <c r="M739" s="191" t="s">
        <v>990</v>
      </c>
    </row>
    <row r="740" spans="2:13" x14ac:dyDescent="0.2">
      <c r="B740" s="189">
        <v>45176</v>
      </c>
      <c r="C740" s="77">
        <v>3172.8</v>
      </c>
      <c r="L740" s="190">
        <v>45175</v>
      </c>
      <c r="M740" s="191" t="s">
        <v>792</v>
      </c>
    </row>
    <row r="741" spans="2:13" x14ac:dyDescent="0.2">
      <c r="B741" s="189">
        <v>45175</v>
      </c>
      <c r="C741" s="77">
        <v>3176.05</v>
      </c>
      <c r="L741" s="190">
        <v>45174</v>
      </c>
      <c r="M741" s="191" t="s">
        <v>991</v>
      </c>
    </row>
    <row r="742" spans="2:13" x14ac:dyDescent="0.2">
      <c r="B742" s="189">
        <v>45174</v>
      </c>
      <c r="C742" s="77">
        <v>3136.15</v>
      </c>
      <c r="L742" s="190">
        <v>45173</v>
      </c>
      <c r="M742" s="191" t="s">
        <v>992</v>
      </c>
    </row>
    <row r="743" spans="2:13" x14ac:dyDescent="0.2">
      <c r="B743" s="189">
        <v>45173</v>
      </c>
      <c r="C743" s="77">
        <v>3100.3</v>
      </c>
      <c r="L743" s="190">
        <v>45170</v>
      </c>
      <c r="M743" s="191" t="s">
        <v>993</v>
      </c>
    </row>
    <row r="744" spans="2:13" x14ac:dyDescent="0.2">
      <c r="B744" s="189">
        <v>45170</v>
      </c>
      <c r="C744" s="77">
        <v>3116.8</v>
      </c>
      <c r="L744" s="190">
        <v>45169</v>
      </c>
      <c r="M744" s="191" t="s">
        <v>985</v>
      </c>
    </row>
    <row r="745" spans="2:13" x14ac:dyDescent="0.2">
      <c r="B745" s="189">
        <v>45169</v>
      </c>
      <c r="C745" s="77">
        <v>3104.45</v>
      </c>
      <c r="L745" s="190">
        <v>45168</v>
      </c>
      <c r="M745" s="191" t="s">
        <v>994</v>
      </c>
    </row>
    <row r="746" spans="2:13" x14ac:dyDescent="0.2">
      <c r="B746" s="189">
        <v>45168</v>
      </c>
      <c r="C746" s="77">
        <v>3082.2</v>
      </c>
      <c r="L746" s="190">
        <v>45167</v>
      </c>
      <c r="M746" s="191" t="s">
        <v>995</v>
      </c>
    </row>
    <row r="747" spans="2:13" x14ac:dyDescent="0.2">
      <c r="B747" s="189">
        <v>45167</v>
      </c>
      <c r="C747" s="77">
        <v>3079.4</v>
      </c>
      <c r="L747" s="190">
        <v>45166</v>
      </c>
      <c r="M747" s="191" t="s">
        <v>996</v>
      </c>
    </row>
    <row r="748" spans="2:13" x14ac:dyDescent="0.2">
      <c r="B748" s="189">
        <v>45166</v>
      </c>
      <c r="C748" s="77">
        <v>3048.55</v>
      </c>
      <c r="L748" s="190">
        <v>45163</v>
      </c>
      <c r="M748" s="191" t="s">
        <v>997</v>
      </c>
    </row>
    <row r="749" spans="2:13" x14ac:dyDescent="0.2">
      <c r="B749" s="189">
        <v>45163</v>
      </c>
      <c r="C749" s="77">
        <v>3067.2</v>
      </c>
      <c r="L749" s="190">
        <v>45162</v>
      </c>
      <c r="M749" s="191" t="s">
        <v>998</v>
      </c>
    </row>
    <row r="750" spans="2:13" x14ac:dyDescent="0.2">
      <c r="B750" s="189">
        <v>45162</v>
      </c>
      <c r="C750" s="77">
        <v>3061.2</v>
      </c>
      <c r="L750" s="190">
        <v>45161</v>
      </c>
      <c r="M750" s="191" t="s">
        <v>999</v>
      </c>
    </row>
    <row r="751" spans="2:13" x14ac:dyDescent="0.2">
      <c r="B751" s="189">
        <v>45161</v>
      </c>
      <c r="C751" s="77">
        <v>3070</v>
      </c>
      <c r="L751" s="190">
        <v>45160</v>
      </c>
      <c r="M751" s="191" t="s">
        <v>1000</v>
      </c>
    </row>
    <row r="752" spans="2:13" x14ac:dyDescent="0.2">
      <c r="B752" s="189">
        <v>45160</v>
      </c>
      <c r="C752" s="77">
        <v>3075.6</v>
      </c>
      <c r="L752" s="190">
        <v>45159</v>
      </c>
      <c r="M752" s="191" t="s">
        <v>1001</v>
      </c>
    </row>
    <row r="753" spans="2:13" x14ac:dyDescent="0.2">
      <c r="B753" s="189">
        <v>45159</v>
      </c>
      <c r="C753" s="77">
        <v>3078.3</v>
      </c>
      <c r="L753" s="190">
        <v>45156</v>
      </c>
      <c r="M753" s="191" t="s">
        <v>1002</v>
      </c>
    </row>
    <row r="754" spans="2:13" x14ac:dyDescent="0.2">
      <c r="B754" s="189">
        <v>45156</v>
      </c>
      <c r="C754" s="77">
        <v>3050.45</v>
      </c>
      <c r="L754" s="190">
        <v>45155</v>
      </c>
      <c r="M754" s="191" t="s">
        <v>794</v>
      </c>
    </row>
    <row r="755" spans="2:13" x14ac:dyDescent="0.2">
      <c r="B755" s="189">
        <v>45155</v>
      </c>
      <c r="C755" s="77">
        <v>3071.75</v>
      </c>
      <c r="L755" s="190">
        <v>45154</v>
      </c>
      <c r="M755" s="191" t="s">
        <v>1003</v>
      </c>
    </row>
    <row r="756" spans="2:13" x14ac:dyDescent="0.2">
      <c r="B756" s="189">
        <v>45154</v>
      </c>
      <c r="C756" s="77">
        <v>3011.1</v>
      </c>
      <c r="L756" s="190">
        <v>45152</v>
      </c>
      <c r="M756" s="191" t="s">
        <v>1004</v>
      </c>
    </row>
    <row r="757" spans="2:13" x14ac:dyDescent="0.2">
      <c r="B757" s="189">
        <v>45152</v>
      </c>
      <c r="C757" s="77">
        <v>3010.65</v>
      </c>
      <c r="L757" s="190">
        <v>45149</v>
      </c>
      <c r="M757" s="191" t="s">
        <v>1005</v>
      </c>
    </row>
    <row r="758" spans="2:13" x14ac:dyDescent="0.2">
      <c r="B758" s="189">
        <v>45149</v>
      </c>
      <c r="C758" s="77">
        <v>3017.25</v>
      </c>
      <c r="L758" s="190">
        <v>45148</v>
      </c>
      <c r="M758" s="191" t="s">
        <v>1006</v>
      </c>
    </row>
    <row r="759" spans="2:13" x14ac:dyDescent="0.2">
      <c r="B759" s="189">
        <v>45148</v>
      </c>
      <c r="C759" s="77">
        <v>2988.55</v>
      </c>
      <c r="L759" s="190">
        <v>45147</v>
      </c>
      <c r="M759" s="191" t="s">
        <v>1007</v>
      </c>
    </row>
    <row r="760" spans="2:13" x14ac:dyDescent="0.2">
      <c r="B760" s="189">
        <v>45147</v>
      </c>
      <c r="C760" s="77">
        <v>2955.9</v>
      </c>
      <c r="L760" s="190">
        <v>45146</v>
      </c>
      <c r="M760" s="191" t="s">
        <v>1008</v>
      </c>
    </row>
    <row r="761" spans="2:13" x14ac:dyDescent="0.2">
      <c r="B761" s="189">
        <v>45146</v>
      </c>
      <c r="C761" s="77">
        <v>2921.25</v>
      </c>
      <c r="L761" s="190">
        <v>45145</v>
      </c>
      <c r="M761" s="191" t="s">
        <v>1009</v>
      </c>
    </row>
    <row r="762" spans="2:13" x14ac:dyDescent="0.2">
      <c r="B762" s="189">
        <v>45145</v>
      </c>
      <c r="C762" s="77">
        <v>2904.6</v>
      </c>
      <c r="L762" s="190">
        <v>45142</v>
      </c>
      <c r="M762" s="191" t="s">
        <v>1010</v>
      </c>
    </row>
    <row r="763" spans="2:13" x14ac:dyDescent="0.2">
      <c r="B763" s="189">
        <v>45142</v>
      </c>
      <c r="C763" s="77">
        <v>2904.4</v>
      </c>
      <c r="L763" s="190">
        <v>45141</v>
      </c>
      <c r="M763" s="191" t="s">
        <v>1011</v>
      </c>
    </row>
    <row r="764" spans="2:13" x14ac:dyDescent="0.2">
      <c r="B764" s="189">
        <v>45141</v>
      </c>
      <c r="C764" s="77">
        <v>2902.1</v>
      </c>
      <c r="L764" s="190">
        <v>45140</v>
      </c>
      <c r="M764" s="191" t="s">
        <v>534</v>
      </c>
    </row>
    <row r="765" spans="2:13" x14ac:dyDescent="0.2">
      <c r="B765" s="189">
        <v>45140</v>
      </c>
      <c r="C765" s="77">
        <v>2977.15</v>
      </c>
      <c r="L765" s="190">
        <v>45139</v>
      </c>
      <c r="M765" s="191" t="s">
        <v>1012</v>
      </c>
    </row>
    <row r="766" spans="2:13" x14ac:dyDescent="0.2">
      <c r="B766" s="189">
        <v>45139</v>
      </c>
      <c r="C766" s="77">
        <v>3001.9</v>
      </c>
      <c r="L766" s="190">
        <v>45138</v>
      </c>
      <c r="M766" s="191" t="s">
        <v>1013</v>
      </c>
    </row>
    <row r="767" spans="2:13" x14ac:dyDescent="0.2">
      <c r="B767" s="189">
        <v>45138</v>
      </c>
      <c r="C767" s="77">
        <v>3004.05</v>
      </c>
      <c r="L767" s="190">
        <v>45135</v>
      </c>
      <c r="M767" s="191" t="s">
        <v>1014</v>
      </c>
    </row>
    <row r="768" spans="2:13" x14ac:dyDescent="0.2">
      <c r="B768" s="189">
        <v>45135</v>
      </c>
      <c r="C768" s="77">
        <v>2987</v>
      </c>
      <c r="L768" s="190">
        <v>45134</v>
      </c>
      <c r="M768" s="191" t="s">
        <v>1015</v>
      </c>
    </row>
    <row r="769" spans="2:13" x14ac:dyDescent="0.2">
      <c r="B769" s="189">
        <v>45134</v>
      </c>
      <c r="C769" s="77">
        <v>3002.1</v>
      </c>
      <c r="L769" s="190">
        <v>45133</v>
      </c>
      <c r="M769" s="191" t="s">
        <v>1016</v>
      </c>
    </row>
    <row r="770" spans="2:13" x14ac:dyDescent="0.2">
      <c r="B770" s="189">
        <v>45133</v>
      </c>
      <c r="C770" s="77">
        <v>3008.35</v>
      </c>
      <c r="L770" s="190">
        <v>45132</v>
      </c>
      <c r="M770" s="191" t="s">
        <v>1017</v>
      </c>
    </row>
    <row r="771" spans="2:13" x14ac:dyDescent="0.2">
      <c r="B771" s="189">
        <v>45132</v>
      </c>
      <c r="C771" s="77">
        <v>3029</v>
      </c>
      <c r="L771" s="190">
        <v>45131</v>
      </c>
      <c r="M771" s="191" t="s">
        <v>1018</v>
      </c>
    </row>
    <row r="772" spans="2:13" x14ac:dyDescent="0.2">
      <c r="B772" s="189">
        <v>45131</v>
      </c>
      <c r="C772" s="77">
        <v>2979.2</v>
      </c>
      <c r="L772" s="190">
        <v>45128</v>
      </c>
      <c r="M772" s="191" t="s">
        <v>1019</v>
      </c>
    </row>
    <row r="773" spans="2:13" x14ac:dyDescent="0.2">
      <c r="B773" s="189">
        <v>45128</v>
      </c>
      <c r="C773" s="77">
        <v>2976.3</v>
      </c>
      <c r="L773" s="190">
        <v>45127</v>
      </c>
      <c r="M773" s="191" t="s">
        <v>522</v>
      </c>
    </row>
    <row r="774" spans="2:13" x14ac:dyDescent="0.2">
      <c r="B774" s="189">
        <v>45127</v>
      </c>
      <c r="C774" s="77">
        <v>2989.3</v>
      </c>
      <c r="L774" s="190">
        <v>45126</v>
      </c>
      <c r="M774" s="191" t="s">
        <v>1020</v>
      </c>
    </row>
    <row r="775" spans="2:13" x14ac:dyDescent="0.2">
      <c r="B775" s="189">
        <v>45126</v>
      </c>
      <c r="C775" s="77">
        <v>2995.65</v>
      </c>
      <c r="L775" s="190">
        <v>45125</v>
      </c>
      <c r="M775" s="191" t="s">
        <v>569</v>
      </c>
    </row>
    <row r="776" spans="2:13" x14ac:dyDescent="0.2">
      <c r="B776" s="189">
        <v>45125</v>
      </c>
      <c r="C776" s="77">
        <v>2996.45</v>
      </c>
      <c r="L776" s="190">
        <v>45124</v>
      </c>
      <c r="M776" s="191" t="s">
        <v>1021</v>
      </c>
    </row>
    <row r="777" spans="2:13" x14ac:dyDescent="0.2">
      <c r="B777" s="189">
        <v>45124</v>
      </c>
      <c r="C777" s="77">
        <v>3033.45</v>
      </c>
      <c r="L777" s="190">
        <v>45121</v>
      </c>
      <c r="M777" s="191" t="s">
        <v>796</v>
      </c>
    </row>
    <row r="778" spans="2:13" x14ac:dyDescent="0.2">
      <c r="B778" s="189">
        <v>45121</v>
      </c>
      <c r="C778" s="77">
        <v>3055.55</v>
      </c>
      <c r="L778" s="190">
        <v>45120</v>
      </c>
      <c r="M778" s="191" t="s">
        <v>1022</v>
      </c>
    </row>
    <row r="779" spans="2:13" x14ac:dyDescent="0.2">
      <c r="B779" s="189">
        <v>45120</v>
      </c>
      <c r="C779" s="77">
        <v>3084.75</v>
      </c>
      <c r="L779" s="190">
        <v>45119</v>
      </c>
      <c r="M779" s="191" t="s">
        <v>520</v>
      </c>
    </row>
    <row r="780" spans="2:13" x14ac:dyDescent="0.2">
      <c r="B780" s="189">
        <v>45119</v>
      </c>
      <c r="C780" s="77">
        <v>3096.5</v>
      </c>
      <c r="L780" s="190">
        <v>45118</v>
      </c>
      <c r="M780" s="191" t="s">
        <v>449</v>
      </c>
    </row>
    <row r="781" spans="2:13" x14ac:dyDescent="0.2">
      <c r="B781" s="189">
        <v>45118</v>
      </c>
      <c r="C781" s="77">
        <v>3087.6</v>
      </c>
      <c r="L781" s="190">
        <v>45117</v>
      </c>
      <c r="M781" s="191" t="s">
        <v>454</v>
      </c>
    </row>
    <row r="782" spans="2:13" x14ac:dyDescent="0.2">
      <c r="B782" s="189">
        <v>45117</v>
      </c>
      <c r="C782" s="77">
        <v>3045.55</v>
      </c>
      <c r="L782" s="190">
        <v>45114</v>
      </c>
      <c r="M782" s="191" t="s">
        <v>1023</v>
      </c>
    </row>
    <row r="783" spans="2:13" x14ac:dyDescent="0.2">
      <c r="B783" s="189">
        <v>45114</v>
      </c>
      <c r="C783" s="77">
        <v>3144</v>
      </c>
      <c r="L783" s="190">
        <v>45113</v>
      </c>
      <c r="M783" s="191" t="s">
        <v>1024</v>
      </c>
    </row>
    <row r="784" spans="2:13" x14ac:dyDescent="0.2">
      <c r="B784" s="189">
        <v>45113</v>
      </c>
      <c r="C784" s="77">
        <v>3106.4</v>
      </c>
      <c r="L784" s="190">
        <v>45112</v>
      </c>
      <c r="M784" s="191" t="s">
        <v>1025</v>
      </c>
    </row>
    <row r="785" spans="2:13" x14ac:dyDescent="0.2">
      <c r="B785" s="189">
        <v>45112</v>
      </c>
      <c r="C785" s="77">
        <v>3099.85</v>
      </c>
      <c r="L785" s="190">
        <v>45111</v>
      </c>
      <c r="M785" s="191" t="s">
        <v>875</v>
      </c>
    </row>
    <row r="786" spans="2:13" x14ac:dyDescent="0.2">
      <c r="B786" s="189">
        <v>45111</v>
      </c>
      <c r="C786" s="77">
        <v>3074.65</v>
      </c>
      <c r="L786" s="190">
        <v>45110</v>
      </c>
      <c r="M786" s="191" t="s">
        <v>978</v>
      </c>
    </row>
    <row r="787" spans="2:13" x14ac:dyDescent="0.2">
      <c r="B787" s="189">
        <v>45110</v>
      </c>
      <c r="C787" s="77">
        <v>3038.3</v>
      </c>
      <c r="L787" s="190">
        <v>45107</v>
      </c>
      <c r="M787" s="191" t="s">
        <v>1026</v>
      </c>
    </row>
    <row r="788" spans="2:13" x14ac:dyDescent="0.2">
      <c r="B788" s="189">
        <v>45107</v>
      </c>
      <c r="C788" s="77">
        <v>3047.65</v>
      </c>
      <c r="L788" s="190">
        <v>45105</v>
      </c>
      <c r="M788" s="191" t="s">
        <v>521</v>
      </c>
    </row>
    <row r="789" spans="2:13" x14ac:dyDescent="0.2">
      <c r="B789" s="189">
        <v>45105</v>
      </c>
      <c r="C789" s="77">
        <v>3028.1</v>
      </c>
      <c r="L789" s="190">
        <v>45104</v>
      </c>
      <c r="M789" s="191" t="s">
        <v>1027</v>
      </c>
    </row>
    <row r="790" spans="2:13" x14ac:dyDescent="0.2">
      <c r="B790" s="189">
        <v>45104</v>
      </c>
      <c r="C790" s="77">
        <v>2975.7</v>
      </c>
      <c r="L790" s="190">
        <v>45103</v>
      </c>
      <c r="M790" s="191" t="s">
        <v>1028</v>
      </c>
    </row>
    <row r="791" spans="2:13" x14ac:dyDescent="0.2">
      <c r="B791" s="189">
        <v>45103</v>
      </c>
      <c r="C791" s="77">
        <v>2972.6</v>
      </c>
      <c r="L791" s="190">
        <v>45100</v>
      </c>
      <c r="M791" s="191" t="s">
        <v>1029</v>
      </c>
    </row>
    <row r="792" spans="2:13" x14ac:dyDescent="0.2">
      <c r="B792" s="189">
        <v>45100</v>
      </c>
      <c r="C792" s="77">
        <v>2939.15</v>
      </c>
      <c r="L792" s="190">
        <v>45099</v>
      </c>
      <c r="M792" s="191" t="s">
        <v>1030</v>
      </c>
    </row>
    <row r="793" spans="2:13" x14ac:dyDescent="0.2">
      <c r="B793" s="189">
        <v>45099</v>
      </c>
      <c r="C793" s="77">
        <v>2970.25</v>
      </c>
      <c r="L793" s="190">
        <v>45098</v>
      </c>
      <c r="M793" s="191" t="s">
        <v>655</v>
      </c>
    </row>
    <row r="794" spans="2:13" x14ac:dyDescent="0.2">
      <c r="B794" s="189">
        <v>45098</v>
      </c>
      <c r="C794" s="77">
        <v>2971.1</v>
      </c>
      <c r="L794" s="190">
        <v>45097</v>
      </c>
      <c r="M794" s="191" t="s">
        <v>1031</v>
      </c>
    </row>
    <row r="795" spans="2:13" x14ac:dyDescent="0.2">
      <c r="B795" s="189">
        <v>45097</v>
      </c>
      <c r="C795" s="77">
        <v>2974</v>
      </c>
      <c r="L795" s="190">
        <v>45096</v>
      </c>
      <c r="M795" s="191" t="s">
        <v>495</v>
      </c>
    </row>
    <row r="796" spans="2:13" x14ac:dyDescent="0.2">
      <c r="B796" s="189">
        <v>45096</v>
      </c>
      <c r="C796" s="77">
        <v>2968.6</v>
      </c>
      <c r="L796" s="190">
        <v>45093</v>
      </c>
      <c r="M796" s="191" t="s">
        <v>522</v>
      </c>
    </row>
    <row r="797" spans="2:13" x14ac:dyDescent="0.2">
      <c r="B797" s="189">
        <v>45093</v>
      </c>
      <c r="C797" s="77">
        <v>2954.3</v>
      </c>
      <c r="L797" s="190">
        <v>45092</v>
      </c>
      <c r="M797" s="191" t="s">
        <v>1032</v>
      </c>
    </row>
    <row r="798" spans="2:13" x14ac:dyDescent="0.2">
      <c r="B798" s="189">
        <v>45092</v>
      </c>
      <c r="C798" s="77">
        <v>2908</v>
      </c>
      <c r="L798" s="190">
        <v>45091</v>
      </c>
      <c r="M798" s="191" t="s">
        <v>1033</v>
      </c>
    </row>
    <row r="799" spans="2:13" x14ac:dyDescent="0.2">
      <c r="B799" s="189">
        <v>45091</v>
      </c>
      <c r="C799" s="77">
        <v>2907.05</v>
      </c>
      <c r="L799" s="190">
        <v>45090</v>
      </c>
      <c r="M799" s="191" t="s">
        <v>1034</v>
      </c>
    </row>
    <row r="800" spans="2:13" x14ac:dyDescent="0.2">
      <c r="B800" s="189">
        <v>45090</v>
      </c>
      <c r="C800" s="77">
        <v>2912.5</v>
      </c>
      <c r="L800" s="190">
        <v>45089</v>
      </c>
      <c r="M800" s="191" t="s">
        <v>430</v>
      </c>
    </row>
    <row r="801" spans="2:13" x14ac:dyDescent="0.2">
      <c r="B801" s="189">
        <v>45089</v>
      </c>
      <c r="C801" s="77">
        <v>2852.6</v>
      </c>
      <c r="L801" s="190">
        <v>45086</v>
      </c>
      <c r="M801" s="191" t="s">
        <v>1035</v>
      </c>
    </row>
    <row r="802" spans="2:13" x14ac:dyDescent="0.2">
      <c r="B802" s="189">
        <v>45086</v>
      </c>
      <c r="C802" s="77">
        <v>2876.25</v>
      </c>
      <c r="L802" s="190">
        <v>45085</v>
      </c>
      <c r="M802" s="191" t="s">
        <v>1036</v>
      </c>
    </row>
    <row r="803" spans="2:13" x14ac:dyDescent="0.2">
      <c r="B803" s="189">
        <v>45085</v>
      </c>
      <c r="C803" s="77">
        <v>2877</v>
      </c>
      <c r="L803" s="190">
        <v>45084</v>
      </c>
      <c r="M803" s="191" t="s">
        <v>1037</v>
      </c>
    </row>
    <row r="804" spans="2:13" x14ac:dyDescent="0.2">
      <c r="B804" s="189">
        <v>45084</v>
      </c>
      <c r="C804" s="77">
        <v>2906.95</v>
      </c>
      <c r="L804" s="190">
        <v>45083</v>
      </c>
      <c r="M804" s="191" t="s">
        <v>534</v>
      </c>
    </row>
    <row r="805" spans="2:13" x14ac:dyDescent="0.2">
      <c r="B805" s="189">
        <v>45083</v>
      </c>
      <c r="C805" s="77">
        <v>2881.45</v>
      </c>
      <c r="L805" s="190">
        <v>45082</v>
      </c>
      <c r="M805" s="191" t="s">
        <v>1038</v>
      </c>
    </row>
    <row r="806" spans="2:13" x14ac:dyDescent="0.2">
      <c r="B806" s="189">
        <v>45082</v>
      </c>
      <c r="C806" s="77">
        <v>2855.7</v>
      </c>
      <c r="L806" s="190">
        <v>45079</v>
      </c>
      <c r="M806" s="191" t="s">
        <v>471</v>
      </c>
    </row>
    <row r="807" spans="2:13" x14ac:dyDescent="0.2">
      <c r="B807" s="189">
        <v>45079</v>
      </c>
      <c r="C807" s="77">
        <v>2861.65</v>
      </c>
      <c r="L807" s="190">
        <v>45078</v>
      </c>
      <c r="M807" s="191" t="s">
        <v>1039</v>
      </c>
    </row>
    <row r="808" spans="2:13" x14ac:dyDescent="0.2">
      <c r="B808" s="189">
        <v>45078</v>
      </c>
      <c r="C808" s="77">
        <v>2827.25</v>
      </c>
      <c r="L808" s="190">
        <v>45077</v>
      </c>
      <c r="M808" s="191" t="s">
        <v>475</v>
      </c>
    </row>
    <row r="809" spans="2:13" x14ac:dyDescent="0.2">
      <c r="B809" s="189">
        <v>45077</v>
      </c>
      <c r="C809" s="77">
        <v>2823.25</v>
      </c>
      <c r="L809" s="190">
        <v>45076</v>
      </c>
      <c r="M809" s="191" t="s">
        <v>591</v>
      </c>
    </row>
    <row r="810" spans="2:13" x14ac:dyDescent="0.2">
      <c r="B810" s="189">
        <v>45076</v>
      </c>
      <c r="C810" s="77">
        <v>2802.5</v>
      </c>
      <c r="L810" s="190">
        <v>45075</v>
      </c>
      <c r="M810" s="191" t="s">
        <v>430</v>
      </c>
    </row>
    <row r="811" spans="2:13" x14ac:dyDescent="0.2">
      <c r="B811" s="189">
        <v>45075</v>
      </c>
      <c r="C811" s="77">
        <v>2812.25</v>
      </c>
      <c r="L811" s="190">
        <v>45072</v>
      </c>
      <c r="M811" s="191" t="s">
        <v>1040</v>
      </c>
    </row>
    <row r="812" spans="2:13" x14ac:dyDescent="0.2">
      <c r="B812" s="189">
        <v>45072</v>
      </c>
      <c r="C812" s="77">
        <v>2742.15</v>
      </c>
      <c r="L812" s="190">
        <v>45071</v>
      </c>
      <c r="M812" s="191" t="s">
        <v>1041</v>
      </c>
    </row>
    <row r="813" spans="2:13" x14ac:dyDescent="0.2">
      <c r="B813" s="189">
        <v>45071</v>
      </c>
      <c r="C813" s="77">
        <v>2707.95</v>
      </c>
      <c r="L813" s="190">
        <v>45070</v>
      </c>
      <c r="M813" s="191" t="s">
        <v>1042</v>
      </c>
    </row>
    <row r="814" spans="2:13" x14ac:dyDescent="0.2">
      <c r="B814" s="189">
        <v>45070</v>
      </c>
      <c r="C814" s="77">
        <v>2707.25</v>
      </c>
      <c r="L814" s="190">
        <v>45069</v>
      </c>
      <c r="M814" s="191" t="s">
        <v>1043</v>
      </c>
    </row>
    <row r="815" spans="2:13" x14ac:dyDescent="0.2">
      <c r="B815" s="189">
        <v>45069</v>
      </c>
      <c r="C815" s="77">
        <v>2683.45</v>
      </c>
      <c r="L815" s="190">
        <v>45068</v>
      </c>
      <c r="M815" s="191" t="s">
        <v>1044</v>
      </c>
    </row>
    <row r="816" spans="2:13" x14ac:dyDescent="0.2">
      <c r="B816" s="189">
        <v>45068</v>
      </c>
      <c r="C816" s="77">
        <v>2712.55</v>
      </c>
      <c r="L816" s="190">
        <v>45065</v>
      </c>
      <c r="M816" s="191" t="s">
        <v>1045</v>
      </c>
    </row>
    <row r="817" spans="2:13" x14ac:dyDescent="0.2">
      <c r="B817" s="189">
        <v>45065</v>
      </c>
      <c r="C817" s="77">
        <v>2701.65</v>
      </c>
      <c r="L817" s="190">
        <v>45064</v>
      </c>
      <c r="M817" s="191" t="s">
        <v>1046</v>
      </c>
    </row>
    <row r="818" spans="2:13" x14ac:dyDescent="0.2">
      <c r="B818" s="189">
        <v>45064</v>
      </c>
      <c r="C818" s="77">
        <v>2721.85</v>
      </c>
      <c r="L818" s="190">
        <v>45063</v>
      </c>
      <c r="M818" s="191" t="s">
        <v>1047</v>
      </c>
    </row>
    <row r="819" spans="2:13" x14ac:dyDescent="0.2">
      <c r="B819" s="189">
        <v>45063</v>
      </c>
      <c r="C819" s="77">
        <v>2762.4</v>
      </c>
      <c r="L819" s="190">
        <v>45062</v>
      </c>
      <c r="M819" s="191" t="s">
        <v>1048</v>
      </c>
    </row>
    <row r="820" spans="2:13" x14ac:dyDescent="0.2">
      <c r="B820" s="189">
        <v>45062</v>
      </c>
      <c r="C820" s="77">
        <v>2790.25</v>
      </c>
      <c r="L820" s="190">
        <v>45061</v>
      </c>
      <c r="M820" s="191" t="s">
        <v>1049</v>
      </c>
    </row>
    <row r="821" spans="2:13" x14ac:dyDescent="0.2">
      <c r="B821" s="189">
        <v>45061</v>
      </c>
      <c r="C821" s="77">
        <v>2779.55</v>
      </c>
      <c r="L821" s="190">
        <v>45058</v>
      </c>
      <c r="M821" s="191" t="s">
        <v>1050</v>
      </c>
    </row>
    <row r="822" spans="2:13" x14ac:dyDescent="0.2">
      <c r="B822" s="189">
        <v>45058</v>
      </c>
      <c r="C822" s="77">
        <v>2773.2</v>
      </c>
      <c r="L822" s="190">
        <v>45057</v>
      </c>
      <c r="M822" s="191" t="s">
        <v>1051</v>
      </c>
    </row>
    <row r="823" spans="2:13" x14ac:dyDescent="0.2">
      <c r="B823" s="189">
        <v>45057</v>
      </c>
      <c r="C823" s="77">
        <v>2757.85</v>
      </c>
      <c r="L823" s="190">
        <v>45056</v>
      </c>
      <c r="M823" s="191" t="s">
        <v>1052</v>
      </c>
    </row>
    <row r="824" spans="2:13" x14ac:dyDescent="0.2">
      <c r="B824" s="189">
        <v>45056</v>
      </c>
      <c r="C824" s="77">
        <v>2745.45</v>
      </c>
      <c r="L824" s="190">
        <v>45055</v>
      </c>
      <c r="M824" s="191" t="s">
        <v>1053</v>
      </c>
    </row>
    <row r="825" spans="2:13" x14ac:dyDescent="0.2">
      <c r="B825" s="189">
        <v>45055</v>
      </c>
      <c r="C825" s="77">
        <v>2748.4</v>
      </c>
      <c r="L825" s="190">
        <v>45054</v>
      </c>
      <c r="M825" s="191" t="s">
        <v>1054</v>
      </c>
    </row>
    <row r="826" spans="2:13" x14ac:dyDescent="0.2">
      <c r="B826" s="189">
        <v>45054</v>
      </c>
      <c r="C826" s="77">
        <v>2751.25</v>
      </c>
      <c r="L826" s="190">
        <v>45051</v>
      </c>
      <c r="M826" s="191" t="s">
        <v>763</v>
      </c>
    </row>
    <row r="827" spans="2:13" x14ac:dyDescent="0.2">
      <c r="B827" s="189">
        <v>45051</v>
      </c>
      <c r="C827" s="77">
        <v>2732.9</v>
      </c>
      <c r="L827" s="190">
        <v>45050</v>
      </c>
      <c r="M827" s="191" t="s">
        <v>1055</v>
      </c>
    </row>
    <row r="828" spans="2:13" x14ac:dyDescent="0.2">
      <c r="B828" s="189">
        <v>45050</v>
      </c>
      <c r="C828" s="77">
        <v>2670.4</v>
      </c>
      <c r="L828" s="190">
        <v>45049</v>
      </c>
      <c r="M828" s="191" t="s">
        <v>1056</v>
      </c>
    </row>
    <row r="829" spans="2:13" x14ac:dyDescent="0.2">
      <c r="B829" s="189">
        <v>45049</v>
      </c>
      <c r="C829" s="77">
        <v>2654.05</v>
      </c>
      <c r="L829" s="190">
        <v>45048</v>
      </c>
      <c r="M829" s="191" t="s">
        <v>1057</v>
      </c>
    </row>
    <row r="830" spans="2:13" x14ac:dyDescent="0.2">
      <c r="B830" s="189">
        <v>45048</v>
      </c>
      <c r="C830" s="77">
        <v>2663.85</v>
      </c>
      <c r="L830" s="190">
        <v>45044</v>
      </c>
      <c r="M830" s="191" t="s">
        <v>511</v>
      </c>
    </row>
    <row r="831" spans="2:13" x14ac:dyDescent="0.2">
      <c r="B831" s="189">
        <v>45044</v>
      </c>
      <c r="C831" s="77">
        <v>2641.85</v>
      </c>
      <c r="L831" s="190">
        <v>45043</v>
      </c>
      <c r="M831" s="191" t="s">
        <v>1058</v>
      </c>
    </row>
    <row r="832" spans="2:13" x14ac:dyDescent="0.2">
      <c r="B832" s="189">
        <v>45043</v>
      </c>
      <c r="C832" s="77">
        <v>2663.45</v>
      </c>
      <c r="L832" s="190">
        <v>45042</v>
      </c>
      <c r="M832" s="191" t="s">
        <v>1059</v>
      </c>
    </row>
    <row r="833" spans="2:13" x14ac:dyDescent="0.2">
      <c r="B833" s="189">
        <v>45042</v>
      </c>
      <c r="C833" s="77">
        <v>2641</v>
      </c>
      <c r="L833" s="190">
        <v>45041</v>
      </c>
      <c r="M833" s="191" t="s">
        <v>1060</v>
      </c>
    </row>
    <row r="834" spans="2:13" x14ac:dyDescent="0.2">
      <c r="B834" s="189">
        <v>45041</v>
      </c>
      <c r="C834" s="77">
        <v>2633.2</v>
      </c>
      <c r="L834" s="190">
        <v>45040</v>
      </c>
      <c r="M834" s="191" t="s">
        <v>897</v>
      </c>
    </row>
    <row r="835" spans="2:13" x14ac:dyDescent="0.2">
      <c r="B835" s="189">
        <v>45040</v>
      </c>
      <c r="C835" s="77">
        <v>2629.55</v>
      </c>
      <c r="L835" s="190">
        <v>45037</v>
      </c>
      <c r="M835" s="191" t="s">
        <v>1061</v>
      </c>
    </row>
    <row r="836" spans="2:13" x14ac:dyDescent="0.2">
      <c r="B836" s="189">
        <v>45037</v>
      </c>
      <c r="C836" s="77">
        <v>2568.3000000000002</v>
      </c>
      <c r="L836" s="190">
        <v>45036</v>
      </c>
      <c r="M836" s="191" t="s">
        <v>1062</v>
      </c>
    </row>
    <row r="837" spans="2:13" x14ac:dyDescent="0.2">
      <c r="B837" s="189">
        <v>45036</v>
      </c>
      <c r="C837" s="77">
        <v>2579.25</v>
      </c>
      <c r="L837" s="190">
        <v>45035</v>
      </c>
      <c r="M837" s="191" t="s">
        <v>1063</v>
      </c>
    </row>
    <row r="838" spans="2:13" x14ac:dyDescent="0.2">
      <c r="B838" s="189">
        <v>45035</v>
      </c>
      <c r="C838" s="77">
        <v>2569.3000000000002</v>
      </c>
      <c r="L838" s="190">
        <v>45034</v>
      </c>
      <c r="M838" s="191" t="s">
        <v>1064</v>
      </c>
    </row>
    <row r="839" spans="2:13" x14ac:dyDescent="0.2">
      <c r="B839" s="189">
        <v>45034</v>
      </c>
      <c r="C839" s="77">
        <v>2577.6999999999998</v>
      </c>
      <c r="L839" s="190">
        <v>45033</v>
      </c>
      <c r="M839" s="191" t="s">
        <v>518</v>
      </c>
    </row>
    <row r="840" spans="2:13" x14ac:dyDescent="0.2">
      <c r="B840" s="189">
        <v>45033</v>
      </c>
      <c r="C840" s="77">
        <v>2605.6</v>
      </c>
      <c r="L840" s="190">
        <v>45029</v>
      </c>
      <c r="M840" s="191" t="s">
        <v>1065</v>
      </c>
    </row>
    <row r="841" spans="2:13" x14ac:dyDescent="0.2">
      <c r="B841" s="189">
        <v>45029</v>
      </c>
      <c r="C841" s="77">
        <v>2585.65</v>
      </c>
      <c r="L841" s="190">
        <v>45028</v>
      </c>
      <c r="M841" s="191" t="s">
        <v>1066</v>
      </c>
    </row>
    <row r="842" spans="2:13" x14ac:dyDescent="0.2">
      <c r="B842" s="189">
        <v>45028</v>
      </c>
      <c r="C842" s="77">
        <v>2587.9</v>
      </c>
      <c r="L842" s="190">
        <v>45027</v>
      </c>
      <c r="M842" s="191" t="s">
        <v>1067</v>
      </c>
    </row>
    <row r="843" spans="2:13" x14ac:dyDescent="0.2">
      <c r="B843" s="189">
        <v>45027</v>
      </c>
      <c r="C843" s="77">
        <v>2580.0500000000002</v>
      </c>
      <c r="L843" s="190">
        <v>45026</v>
      </c>
      <c r="M843" s="191" t="s">
        <v>850</v>
      </c>
    </row>
    <row r="844" spans="2:13" x14ac:dyDescent="0.2">
      <c r="B844" s="189">
        <v>45026</v>
      </c>
      <c r="C844" s="77">
        <v>2583.6999999999998</v>
      </c>
      <c r="L844" s="190">
        <v>45022</v>
      </c>
      <c r="M844" s="191" t="s">
        <v>746</v>
      </c>
    </row>
    <row r="845" spans="2:13" x14ac:dyDescent="0.2">
      <c r="B845" s="189">
        <v>45022</v>
      </c>
      <c r="C845" s="77">
        <v>2548.4499999999998</v>
      </c>
      <c r="L845" s="190">
        <v>45021</v>
      </c>
      <c r="M845" s="191" t="s">
        <v>851</v>
      </c>
    </row>
    <row r="846" spans="2:13" x14ac:dyDescent="0.2">
      <c r="B846" s="189">
        <v>45021</v>
      </c>
      <c r="C846" s="77">
        <v>2572.6999999999998</v>
      </c>
      <c r="L846" s="190">
        <v>45019</v>
      </c>
      <c r="M846" s="191" t="s">
        <v>1068</v>
      </c>
    </row>
    <row r="847" spans="2:13" x14ac:dyDescent="0.2">
      <c r="B847" s="189">
        <v>45019</v>
      </c>
      <c r="C847" s="77">
        <v>2537.4</v>
      </c>
      <c r="L847" s="190">
        <v>45016</v>
      </c>
      <c r="M847" s="191" t="s">
        <v>1069</v>
      </c>
    </row>
    <row r="848" spans="2:13" x14ac:dyDescent="0.2">
      <c r="B848" s="189">
        <v>45016</v>
      </c>
      <c r="C848" s="77">
        <v>2514.9</v>
      </c>
      <c r="L848" s="190">
        <v>45014</v>
      </c>
      <c r="M848" s="191" t="s">
        <v>1070</v>
      </c>
    </row>
    <row r="849" spans="2:13" x14ac:dyDescent="0.2">
      <c r="B849" s="189">
        <v>45014</v>
      </c>
      <c r="C849" s="77">
        <v>2515.0500000000002</v>
      </c>
      <c r="L849" s="190">
        <v>45013</v>
      </c>
      <c r="M849" s="191" t="s">
        <v>1071</v>
      </c>
    </row>
    <row r="850" spans="2:13" x14ac:dyDescent="0.2">
      <c r="B850" s="189">
        <v>45013</v>
      </c>
      <c r="C850" s="77">
        <v>2500.3000000000002</v>
      </c>
      <c r="L850" s="190">
        <v>45012</v>
      </c>
      <c r="M850" s="191" t="s">
        <v>1072</v>
      </c>
    </row>
    <row r="851" spans="2:13" x14ac:dyDescent="0.2">
      <c r="B851" s="189">
        <v>45012</v>
      </c>
      <c r="C851" s="77">
        <v>2494.4</v>
      </c>
      <c r="L851" s="190">
        <v>45009</v>
      </c>
      <c r="M851" s="191" t="s">
        <v>1073</v>
      </c>
    </row>
    <row r="852" spans="2:13" x14ac:dyDescent="0.2">
      <c r="B852" s="189">
        <v>45009</v>
      </c>
      <c r="C852" s="77">
        <v>2493.35</v>
      </c>
      <c r="L852" s="190">
        <v>45008</v>
      </c>
      <c r="M852" s="191" t="s">
        <v>1074</v>
      </c>
    </row>
    <row r="853" spans="2:13" x14ac:dyDescent="0.2">
      <c r="B853" s="189">
        <v>45008</v>
      </c>
      <c r="C853" s="77">
        <v>2519.0500000000002</v>
      </c>
      <c r="L853" s="190">
        <v>45007</v>
      </c>
      <c r="M853" s="191" t="s">
        <v>1075</v>
      </c>
    </row>
    <row r="854" spans="2:13" x14ac:dyDescent="0.2">
      <c r="B854" s="189">
        <v>45007</v>
      </c>
      <c r="C854" s="77">
        <v>2508.15</v>
      </c>
      <c r="L854" s="190">
        <v>45006</v>
      </c>
      <c r="M854" s="191" t="s">
        <v>507</v>
      </c>
    </row>
    <row r="855" spans="2:13" x14ac:dyDescent="0.2">
      <c r="B855" s="189">
        <v>45006</v>
      </c>
      <c r="C855" s="77">
        <v>2514.0500000000002</v>
      </c>
      <c r="L855" s="190">
        <v>45005</v>
      </c>
      <c r="M855" s="191" t="s">
        <v>1076</v>
      </c>
    </row>
    <row r="856" spans="2:13" x14ac:dyDescent="0.2">
      <c r="B856" s="189">
        <v>45005</v>
      </c>
      <c r="C856" s="77">
        <v>2459.9499999999998</v>
      </c>
      <c r="L856" s="190">
        <v>45002</v>
      </c>
      <c r="M856" s="191" t="s">
        <v>778</v>
      </c>
    </row>
    <row r="857" spans="2:13" x14ac:dyDescent="0.2">
      <c r="B857" s="189">
        <v>45002</v>
      </c>
      <c r="C857" s="77">
        <v>2455.65</v>
      </c>
      <c r="L857" s="190">
        <v>45001</v>
      </c>
      <c r="M857" s="191" t="s">
        <v>919</v>
      </c>
    </row>
    <row r="858" spans="2:13" x14ac:dyDescent="0.2">
      <c r="B858" s="189">
        <v>45001</v>
      </c>
      <c r="C858" s="77">
        <v>2450.35</v>
      </c>
      <c r="L858" s="190">
        <v>45000</v>
      </c>
      <c r="M858" s="191" t="s">
        <v>431</v>
      </c>
    </row>
    <row r="859" spans="2:13" x14ac:dyDescent="0.2">
      <c r="B859" s="189">
        <v>45000</v>
      </c>
      <c r="C859" s="77">
        <v>2399.1</v>
      </c>
      <c r="L859" s="190">
        <v>44999</v>
      </c>
      <c r="M859" s="191" t="s">
        <v>1077</v>
      </c>
    </row>
    <row r="860" spans="2:13" x14ac:dyDescent="0.2">
      <c r="B860" s="189">
        <v>44999</v>
      </c>
      <c r="C860" s="77">
        <v>2355.6</v>
      </c>
      <c r="L860" s="190">
        <v>44998</v>
      </c>
      <c r="M860" s="191" t="s">
        <v>1078</v>
      </c>
    </row>
    <row r="861" spans="2:13" x14ac:dyDescent="0.2">
      <c r="B861" s="189">
        <v>44998</v>
      </c>
      <c r="C861" s="77">
        <v>2332</v>
      </c>
      <c r="L861" s="190">
        <v>44995</v>
      </c>
      <c r="M861" s="191" t="s">
        <v>1079</v>
      </c>
    </row>
    <row r="862" spans="2:13" x14ac:dyDescent="0.2">
      <c r="B862" s="189">
        <v>44995</v>
      </c>
      <c r="C862" s="77">
        <v>2375.5</v>
      </c>
      <c r="L862" s="190">
        <v>44994</v>
      </c>
      <c r="M862" s="191" t="s">
        <v>1080</v>
      </c>
    </row>
    <row r="863" spans="2:13" x14ac:dyDescent="0.2">
      <c r="B863" s="189">
        <v>44994</v>
      </c>
      <c r="C863" s="77">
        <v>2368.25</v>
      </c>
      <c r="L863" s="190">
        <v>44993</v>
      </c>
      <c r="M863" s="191" t="s">
        <v>1081</v>
      </c>
    </row>
    <row r="864" spans="2:13" x14ac:dyDescent="0.2">
      <c r="B864" s="189">
        <v>44993</v>
      </c>
      <c r="C864" s="77">
        <v>2397.1</v>
      </c>
      <c r="L864" s="190">
        <v>44991</v>
      </c>
      <c r="M864" s="191" t="s">
        <v>1082</v>
      </c>
    </row>
    <row r="865" spans="2:13" x14ac:dyDescent="0.2">
      <c r="B865" s="189">
        <v>44991</v>
      </c>
      <c r="C865" s="77">
        <v>2403.4499999999998</v>
      </c>
      <c r="L865" s="190">
        <v>44988</v>
      </c>
      <c r="M865" s="191" t="s">
        <v>1083</v>
      </c>
    </row>
    <row r="866" spans="2:13" x14ac:dyDescent="0.2">
      <c r="B866" s="189">
        <v>44988</v>
      </c>
      <c r="C866" s="77">
        <v>2396.1</v>
      </c>
      <c r="L866" s="190">
        <v>44987</v>
      </c>
      <c r="M866" s="191" t="s">
        <v>1084</v>
      </c>
    </row>
    <row r="867" spans="2:13" x14ac:dyDescent="0.2">
      <c r="B867" s="189">
        <v>44987</v>
      </c>
      <c r="C867" s="77">
        <v>2358.9499999999998</v>
      </c>
      <c r="L867" s="190">
        <v>44986</v>
      </c>
      <c r="M867" s="191" t="s">
        <v>1085</v>
      </c>
    </row>
    <row r="868" spans="2:13" x14ac:dyDescent="0.2">
      <c r="B868" s="189">
        <v>44986</v>
      </c>
      <c r="C868" s="77">
        <v>2382.4</v>
      </c>
      <c r="L868" s="190">
        <v>44985</v>
      </c>
      <c r="M868" s="191" t="s">
        <v>552</v>
      </c>
    </row>
    <row r="869" spans="2:13" x14ac:dyDescent="0.2">
      <c r="B869" s="189">
        <v>44985</v>
      </c>
      <c r="C869" s="77">
        <v>2372.8000000000002</v>
      </c>
      <c r="L869" s="190">
        <v>44984</v>
      </c>
      <c r="M869" s="191" t="s">
        <v>1086</v>
      </c>
    </row>
    <row r="870" spans="2:13" x14ac:dyDescent="0.2">
      <c r="B870" s="189">
        <v>44984</v>
      </c>
      <c r="C870" s="77">
        <v>2401</v>
      </c>
      <c r="L870" s="190">
        <v>44981</v>
      </c>
      <c r="M870" s="191" t="s">
        <v>534</v>
      </c>
    </row>
    <row r="871" spans="2:13" x14ac:dyDescent="0.2">
      <c r="B871" s="189">
        <v>44981</v>
      </c>
      <c r="C871" s="77">
        <v>2399.1</v>
      </c>
      <c r="L871" s="190">
        <v>44980</v>
      </c>
      <c r="M871" s="191" t="s">
        <v>716</v>
      </c>
    </row>
    <row r="872" spans="2:13" x14ac:dyDescent="0.2">
      <c r="B872" s="189">
        <v>44980</v>
      </c>
      <c r="C872" s="77">
        <v>2394.5</v>
      </c>
      <c r="L872" s="190">
        <v>44979</v>
      </c>
      <c r="M872" s="191" t="s">
        <v>419</v>
      </c>
    </row>
    <row r="873" spans="2:13" x14ac:dyDescent="0.2">
      <c r="B873" s="189">
        <v>44979</v>
      </c>
      <c r="C873" s="77">
        <v>2431.5500000000002</v>
      </c>
      <c r="L873" s="190">
        <v>44978</v>
      </c>
      <c r="M873" s="191" t="s">
        <v>1087</v>
      </c>
    </row>
    <row r="874" spans="2:13" x14ac:dyDescent="0.2">
      <c r="B874" s="189">
        <v>44978</v>
      </c>
      <c r="C874" s="77">
        <v>2463.6</v>
      </c>
      <c r="L874" s="190">
        <v>44977</v>
      </c>
      <c r="M874" s="191" t="s">
        <v>1088</v>
      </c>
    </row>
    <row r="875" spans="2:13" x14ac:dyDescent="0.2">
      <c r="B875" s="189">
        <v>44977</v>
      </c>
      <c r="C875" s="77">
        <v>2474.15</v>
      </c>
      <c r="L875" s="190">
        <v>44974</v>
      </c>
      <c r="M875" s="191" t="s">
        <v>1089</v>
      </c>
    </row>
    <row r="876" spans="2:13" x14ac:dyDescent="0.2">
      <c r="B876" s="189">
        <v>44974</v>
      </c>
      <c r="C876" s="77">
        <v>2500.3000000000002</v>
      </c>
      <c r="L876" s="190">
        <v>44973</v>
      </c>
      <c r="M876" s="191" t="s">
        <v>1090</v>
      </c>
    </row>
    <row r="877" spans="2:13" x14ac:dyDescent="0.2">
      <c r="B877" s="189">
        <v>44973</v>
      </c>
      <c r="C877" s="77">
        <v>2522.4</v>
      </c>
      <c r="L877" s="190">
        <v>44972</v>
      </c>
      <c r="M877" s="191" t="s">
        <v>1091</v>
      </c>
    </row>
    <row r="878" spans="2:13" x14ac:dyDescent="0.2">
      <c r="B878" s="189">
        <v>44972</v>
      </c>
      <c r="C878" s="77">
        <v>2524.3000000000002</v>
      </c>
      <c r="L878" s="190">
        <v>44971</v>
      </c>
      <c r="M878" s="191" t="s">
        <v>1092</v>
      </c>
    </row>
    <row r="879" spans="2:13" x14ac:dyDescent="0.2">
      <c r="B879" s="189">
        <v>44971</v>
      </c>
      <c r="C879" s="77">
        <v>2506.9</v>
      </c>
      <c r="L879" s="190">
        <v>44970</v>
      </c>
      <c r="M879" s="191" t="s">
        <v>821</v>
      </c>
    </row>
    <row r="880" spans="2:13" x14ac:dyDescent="0.2">
      <c r="B880" s="189">
        <v>44970</v>
      </c>
      <c r="C880" s="77">
        <v>2519.0500000000002</v>
      </c>
      <c r="L880" s="190">
        <v>44967</v>
      </c>
      <c r="M880" s="191" t="s">
        <v>1093</v>
      </c>
    </row>
    <row r="881" spans="2:13" x14ac:dyDescent="0.2">
      <c r="B881" s="189">
        <v>44967</v>
      </c>
      <c r="C881" s="77">
        <v>2468.5</v>
      </c>
      <c r="L881" s="190">
        <v>44966</v>
      </c>
      <c r="M881" s="191" t="s">
        <v>1094</v>
      </c>
    </row>
    <row r="882" spans="2:13" x14ac:dyDescent="0.2">
      <c r="B882" s="189">
        <v>44966</v>
      </c>
      <c r="C882" s="77">
        <v>2462.5500000000002</v>
      </c>
      <c r="L882" s="190">
        <v>44965</v>
      </c>
      <c r="M882" s="191" t="s">
        <v>1095</v>
      </c>
    </row>
    <row r="883" spans="2:13" x14ac:dyDescent="0.2">
      <c r="B883" s="189">
        <v>44965</v>
      </c>
      <c r="C883" s="77">
        <v>2466.75</v>
      </c>
      <c r="L883" s="190">
        <v>44964</v>
      </c>
      <c r="M883" s="191" t="s">
        <v>1096</v>
      </c>
    </row>
    <row r="884" spans="2:13" x14ac:dyDescent="0.2">
      <c r="B884" s="189">
        <v>44964</v>
      </c>
      <c r="C884" s="77">
        <v>2446.9</v>
      </c>
      <c r="L884" s="190">
        <v>44963</v>
      </c>
      <c r="M884" s="191" t="s">
        <v>455</v>
      </c>
    </row>
    <row r="885" spans="2:13" x14ac:dyDescent="0.2">
      <c r="B885" s="189">
        <v>44963</v>
      </c>
      <c r="C885" s="77">
        <v>2458</v>
      </c>
      <c r="L885" s="190">
        <v>44960</v>
      </c>
      <c r="M885" s="191" t="s">
        <v>1097</v>
      </c>
    </row>
    <row r="886" spans="2:13" x14ac:dyDescent="0.2">
      <c r="B886" s="189">
        <v>44960</v>
      </c>
      <c r="C886" s="77">
        <v>2463.1</v>
      </c>
      <c r="L886" s="190">
        <v>44959</v>
      </c>
      <c r="M886" s="191" t="s">
        <v>1098</v>
      </c>
    </row>
    <row r="887" spans="2:13" x14ac:dyDescent="0.2">
      <c r="B887" s="189">
        <v>44959</v>
      </c>
      <c r="C887" s="77">
        <v>2308.1</v>
      </c>
      <c r="L887" s="190">
        <v>44958</v>
      </c>
      <c r="M887" s="191" t="s">
        <v>1099</v>
      </c>
    </row>
    <row r="888" spans="2:13" x14ac:dyDescent="0.2">
      <c r="B888" s="189">
        <v>44958</v>
      </c>
      <c r="C888" s="77">
        <v>2345.9</v>
      </c>
      <c r="L888" s="190">
        <v>44957</v>
      </c>
      <c r="M888" s="191" t="s">
        <v>649</v>
      </c>
    </row>
    <row r="889" spans="2:13" x14ac:dyDescent="0.2">
      <c r="B889" s="189">
        <v>44957</v>
      </c>
      <c r="C889" s="77">
        <v>2377.15</v>
      </c>
      <c r="L889" s="190">
        <v>44956</v>
      </c>
      <c r="M889" s="191" t="s">
        <v>744</v>
      </c>
    </row>
    <row r="890" spans="2:13" x14ac:dyDescent="0.2">
      <c r="B890" s="189">
        <v>44956</v>
      </c>
      <c r="C890" s="77">
        <v>2335.5500000000002</v>
      </c>
      <c r="L890" s="190">
        <v>44953</v>
      </c>
      <c r="M890" s="191" t="s">
        <v>460</v>
      </c>
    </row>
    <row r="891" spans="2:13" x14ac:dyDescent="0.2">
      <c r="B891" s="189">
        <v>44953</v>
      </c>
      <c r="C891" s="77">
        <v>2331.25</v>
      </c>
      <c r="L891" s="190">
        <v>44951</v>
      </c>
      <c r="M891" s="191" t="s">
        <v>1100</v>
      </c>
    </row>
    <row r="892" spans="2:13" x14ac:dyDescent="0.2">
      <c r="B892" s="189">
        <v>44951</v>
      </c>
      <c r="C892" s="77">
        <v>2356.6</v>
      </c>
      <c r="L892" s="190">
        <v>44950</v>
      </c>
      <c r="M892" s="191" t="s">
        <v>1101</v>
      </c>
    </row>
    <row r="893" spans="2:13" x14ac:dyDescent="0.2">
      <c r="B893" s="189">
        <v>44950</v>
      </c>
      <c r="C893" s="77">
        <v>2370.75</v>
      </c>
      <c r="L893" s="190">
        <v>44949</v>
      </c>
      <c r="M893" s="191" t="s">
        <v>1102</v>
      </c>
    </row>
    <row r="894" spans="2:13" x14ac:dyDescent="0.2">
      <c r="B894" s="189">
        <v>44949</v>
      </c>
      <c r="C894" s="77">
        <v>2364.6999999999998</v>
      </c>
      <c r="L894" s="190">
        <v>44946</v>
      </c>
      <c r="M894" s="191" t="s">
        <v>711</v>
      </c>
    </row>
    <row r="895" spans="2:13" x14ac:dyDescent="0.2">
      <c r="B895" s="189">
        <v>44946</v>
      </c>
      <c r="C895" s="77">
        <v>2371.3000000000002</v>
      </c>
      <c r="L895" s="190">
        <v>44945</v>
      </c>
      <c r="M895" s="191" t="s">
        <v>471</v>
      </c>
    </row>
    <row r="896" spans="2:13" x14ac:dyDescent="0.2">
      <c r="B896" s="189">
        <v>44945</v>
      </c>
      <c r="C896" s="77">
        <v>2385.0500000000002</v>
      </c>
      <c r="L896" s="190">
        <v>44944</v>
      </c>
      <c r="M896" s="191" t="s">
        <v>1103</v>
      </c>
    </row>
    <row r="897" spans="2:13" x14ac:dyDescent="0.2">
      <c r="B897" s="189">
        <v>44944</v>
      </c>
      <c r="C897" s="77">
        <v>2424.1</v>
      </c>
      <c r="L897" s="190">
        <v>44943</v>
      </c>
      <c r="M897" s="191" t="s">
        <v>1104</v>
      </c>
    </row>
    <row r="898" spans="2:13" x14ac:dyDescent="0.2">
      <c r="B898" s="189">
        <v>44943</v>
      </c>
      <c r="C898" s="77">
        <v>2407.9499999999998</v>
      </c>
      <c r="L898" s="190">
        <v>44942</v>
      </c>
      <c r="M898" s="191" t="s">
        <v>1105</v>
      </c>
    </row>
    <row r="899" spans="2:13" x14ac:dyDescent="0.2">
      <c r="B899" s="189">
        <v>44942</v>
      </c>
      <c r="C899" s="77">
        <v>2405.85</v>
      </c>
      <c r="L899" s="190">
        <v>44939</v>
      </c>
      <c r="M899" s="191" t="s">
        <v>985</v>
      </c>
    </row>
    <row r="900" spans="2:13" x14ac:dyDescent="0.2">
      <c r="B900" s="189">
        <v>44939</v>
      </c>
      <c r="C900" s="77">
        <v>2417.1999999999998</v>
      </c>
      <c r="L900" s="190">
        <v>44938</v>
      </c>
      <c r="M900" s="191" t="s">
        <v>1106</v>
      </c>
    </row>
    <row r="901" spans="2:13" x14ac:dyDescent="0.2">
      <c r="B901" s="189">
        <v>44938</v>
      </c>
      <c r="C901" s="77">
        <v>2446.6</v>
      </c>
      <c r="L901" s="190">
        <v>44937</v>
      </c>
      <c r="M901" s="191" t="s">
        <v>438</v>
      </c>
    </row>
    <row r="902" spans="2:13" x14ac:dyDescent="0.2">
      <c r="B902" s="189">
        <v>44937</v>
      </c>
      <c r="C902" s="77">
        <v>2437.4</v>
      </c>
      <c r="L902" s="190">
        <v>44936</v>
      </c>
      <c r="M902" s="191" t="s">
        <v>1107</v>
      </c>
    </row>
    <row r="903" spans="2:13" x14ac:dyDescent="0.2">
      <c r="B903" s="189">
        <v>44936</v>
      </c>
      <c r="C903" s="77">
        <v>2468.1999999999998</v>
      </c>
      <c r="L903" s="190">
        <v>44935</v>
      </c>
      <c r="M903" s="191" t="s">
        <v>919</v>
      </c>
    </row>
    <row r="904" spans="2:13" x14ac:dyDescent="0.2">
      <c r="B904" s="189">
        <v>44935</v>
      </c>
      <c r="C904" s="77">
        <v>2484.65</v>
      </c>
      <c r="L904" s="190">
        <v>44932</v>
      </c>
      <c r="M904" s="191" t="s">
        <v>1108</v>
      </c>
    </row>
    <row r="905" spans="2:13" x14ac:dyDescent="0.2">
      <c r="B905" s="189">
        <v>44932</v>
      </c>
      <c r="C905" s="77">
        <v>2538.1</v>
      </c>
      <c r="L905" s="190">
        <v>44931</v>
      </c>
      <c r="M905" s="191" t="s">
        <v>736</v>
      </c>
    </row>
    <row r="906" spans="2:13" x14ac:dyDescent="0.2">
      <c r="B906" s="189">
        <v>44931</v>
      </c>
      <c r="C906" s="77">
        <v>2562.1</v>
      </c>
      <c r="L906" s="190">
        <v>44930</v>
      </c>
      <c r="M906" s="191" t="s">
        <v>1109</v>
      </c>
    </row>
    <row r="907" spans="2:13" x14ac:dyDescent="0.2">
      <c r="B907" s="189">
        <v>44930</v>
      </c>
      <c r="C907" s="77">
        <v>2597.5500000000002</v>
      </c>
      <c r="L907" s="190">
        <v>44929</v>
      </c>
      <c r="M907" s="191" t="s">
        <v>1110</v>
      </c>
    </row>
    <row r="908" spans="2:13" x14ac:dyDescent="0.2">
      <c r="B908" s="189">
        <v>44929</v>
      </c>
      <c r="C908" s="77">
        <v>2613.6</v>
      </c>
      <c r="L908" s="190">
        <v>44928</v>
      </c>
      <c r="M908" s="191" t="s">
        <v>1111</v>
      </c>
    </row>
    <row r="909" spans="2:13" x14ac:dyDescent="0.2">
      <c r="B909" s="189">
        <v>44928</v>
      </c>
      <c r="C909" s="77">
        <v>2565.75</v>
      </c>
      <c r="L909" s="190">
        <v>44925</v>
      </c>
      <c r="M909" s="191" t="s">
        <v>563</v>
      </c>
    </row>
    <row r="910" spans="2:13" x14ac:dyDescent="0.2">
      <c r="B910" s="189">
        <v>44925</v>
      </c>
      <c r="C910" s="77">
        <v>2597.5</v>
      </c>
      <c r="L910" s="190">
        <v>44924</v>
      </c>
      <c r="M910" s="191" t="s">
        <v>594</v>
      </c>
    </row>
    <row r="911" spans="2:13" x14ac:dyDescent="0.2">
      <c r="B911" s="189">
        <v>44924</v>
      </c>
      <c r="C911" s="77">
        <v>2553.25</v>
      </c>
      <c r="L911" s="190">
        <v>44923</v>
      </c>
      <c r="M911" s="191" t="s">
        <v>1112</v>
      </c>
    </row>
    <row r="912" spans="2:13" x14ac:dyDescent="0.2">
      <c r="B912" s="189">
        <v>44923</v>
      </c>
      <c r="C912" s="77">
        <v>2580.15</v>
      </c>
      <c r="L912" s="190">
        <v>44922</v>
      </c>
      <c r="M912" s="191" t="s">
        <v>1113</v>
      </c>
    </row>
    <row r="913" spans="2:13" x14ac:dyDescent="0.2">
      <c r="B913" s="189">
        <v>44922</v>
      </c>
      <c r="C913" s="77">
        <v>2503.5500000000002</v>
      </c>
      <c r="L913" s="190">
        <v>44921</v>
      </c>
      <c r="M913" s="191" t="s">
        <v>470</v>
      </c>
    </row>
    <row r="914" spans="2:13" x14ac:dyDescent="0.2">
      <c r="B914" s="189">
        <v>44921</v>
      </c>
      <c r="C914" s="77">
        <v>2481.1</v>
      </c>
      <c r="L914" s="190">
        <v>44918</v>
      </c>
      <c r="M914" s="191" t="s">
        <v>519</v>
      </c>
    </row>
    <row r="915" spans="2:13" x14ac:dyDescent="0.2">
      <c r="B915" s="189">
        <v>44918</v>
      </c>
      <c r="C915" s="77">
        <v>2483.0500000000002</v>
      </c>
      <c r="L915" s="190">
        <v>44917</v>
      </c>
      <c r="M915" s="191" t="s">
        <v>1114</v>
      </c>
    </row>
    <row r="916" spans="2:13" x14ac:dyDescent="0.2">
      <c r="B916" s="189">
        <v>44917</v>
      </c>
      <c r="C916" s="77">
        <v>2483</v>
      </c>
      <c r="L916" s="190">
        <v>44916</v>
      </c>
      <c r="M916" s="191" t="s">
        <v>1115</v>
      </c>
    </row>
    <row r="917" spans="2:13" x14ac:dyDescent="0.2">
      <c r="B917" s="189">
        <v>44916</v>
      </c>
      <c r="C917" s="77">
        <v>2489.6</v>
      </c>
      <c r="L917" s="190">
        <v>44915</v>
      </c>
      <c r="M917" s="191" t="s">
        <v>1116</v>
      </c>
    </row>
    <row r="918" spans="2:13" x14ac:dyDescent="0.2">
      <c r="B918" s="189">
        <v>44915</v>
      </c>
      <c r="C918" s="77">
        <v>2508.15</v>
      </c>
      <c r="L918" s="190">
        <v>44914</v>
      </c>
      <c r="M918" s="191" t="s">
        <v>1117</v>
      </c>
    </row>
    <row r="919" spans="2:13" x14ac:dyDescent="0.2">
      <c r="B919" s="189">
        <v>44914</v>
      </c>
      <c r="C919" s="77">
        <v>2521.8000000000002</v>
      </c>
      <c r="L919" s="190">
        <v>44911</v>
      </c>
      <c r="M919" s="191" t="s">
        <v>436</v>
      </c>
    </row>
    <row r="920" spans="2:13" x14ac:dyDescent="0.2">
      <c r="B920" s="189">
        <v>44911</v>
      </c>
      <c r="C920" s="77">
        <v>2482.85</v>
      </c>
      <c r="L920" s="190">
        <v>44910</v>
      </c>
      <c r="M920" s="191" t="s">
        <v>711</v>
      </c>
    </row>
    <row r="921" spans="2:13" x14ac:dyDescent="0.2">
      <c r="B921" s="189">
        <v>44910</v>
      </c>
      <c r="C921" s="77">
        <v>2522.6999999999998</v>
      </c>
      <c r="L921" s="190">
        <v>44909</v>
      </c>
      <c r="M921" s="191" t="s">
        <v>1118</v>
      </c>
    </row>
    <row r="922" spans="2:13" x14ac:dyDescent="0.2">
      <c r="B922" s="189">
        <v>44909</v>
      </c>
      <c r="C922" s="77">
        <v>2591.1</v>
      </c>
      <c r="L922" s="190">
        <v>44908</v>
      </c>
      <c r="M922" s="191" t="s">
        <v>1119</v>
      </c>
    </row>
    <row r="923" spans="2:13" x14ac:dyDescent="0.2">
      <c r="B923" s="189">
        <v>44908</v>
      </c>
      <c r="C923" s="77">
        <v>2575.9</v>
      </c>
      <c r="L923" s="190">
        <v>44907</v>
      </c>
      <c r="M923" s="191" t="s">
        <v>1120</v>
      </c>
    </row>
    <row r="924" spans="2:13" x14ac:dyDescent="0.2">
      <c r="B924" s="189">
        <v>44907</v>
      </c>
      <c r="C924" s="77">
        <v>2584.65</v>
      </c>
      <c r="L924" s="190">
        <v>44904</v>
      </c>
      <c r="M924" s="191" t="s">
        <v>1121</v>
      </c>
    </row>
    <row r="925" spans="2:13" x14ac:dyDescent="0.2">
      <c r="B925" s="189">
        <v>44904</v>
      </c>
      <c r="C925" s="77">
        <v>2615.4499999999998</v>
      </c>
      <c r="L925" s="190">
        <v>44903</v>
      </c>
      <c r="M925" s="191" t="s">
        <v>1122</v>
      </c>
    </row>
    <row r="926" spans="2:13" x14ac:dyDescent="0.2">
      <c r="B926" s="189">
        <v>44903</v>
      </c>
      <c r="C926" s="77">
        <v>2583.5</v>
      </c>
      <c r="L926" s="190">
        <v>44902</v>
      </c>
      <c r="M926" s="191" t="s">
        <v>1123</v>
      </c>
    </row>
    <row r="927" spans="2:13" x14ac:dyDescent="0.2">
      <c r="B927" s="189">
        <v>44902</v>
      </c>
      <c r="C927" s="77">
        <v>2596.85</v>
      </c>
      <c r="L927" s="190">
        <v>44901</v>
      </c>
      <c r="M927" s="191" t="s">
        <v>1124</v>
      </c>
    </row>
    <row r="928" spans="2:13" x14ac:dyDescent="0.2">
      <c r="B928" s="189">
        <v>44901</v>
      </c>
      <c r="C928" s="77">
        <v>2617</v>
      </c>
      <c r="L928" s="190">
        <v>44900</v>
      </c>
      <c r="M928" s="191" t="s">
        <v>1125</v>
      </c>
    </row>
    <row r="929" spans="2:13" x14ac:dyDescent="0.2">
      <c r="B929" s="189">
        <v>44900</v>
      </c>
      <c r="C929" s="77">
        <v>2615.65</v>
      </c>
      <c r="L929" s="190">
        <v>44897</v>
      </c>
      <c r="M929" s="191" t="s">
        <v>1126</v>
      </c>
    </row>
    <row r="930" spans="2:13" x14ac:dyDescent="0.2">
      <c r="B930" s="189">
        <v>44897</v>
      </c>
      <c r="C930" s="77">
        <v>2617.9</v>
      </c>
      <c r="L930" s="190">
        <v>44896</v>
      </c>
      <c r="M930" s="191" t="s">
        <v>1127</v>
      </c>
    </row>
    <row r="931" spans="2:13" x14ac:dyDescent="0.2">
      <c r="B931" s="189">
        <v>44896</v>
      </c>
      <c r="C931" s="77">
        <v>2638.7</v>
      </c>
      <c r="L931" s="190">
        <v>44895</v>
      </c>
      <c r="M931" s="191" t="s">
        <v>511</v>
      </c>
    </row>
    <row r="932" spans="2:13" x14ac:dyDescent="0.2">
      <c r="B932" s="189">
        <v>44895</v>
      </c>
      <c r="C932" s="77">
        <v>2653</v>
      </c>
      <c r="L932" s="190">
        <v>44894</v>
      </c>
      <c r="M932" s="191" t="s">
        <v>1128</v>
      </c>
    </row>
    <row r="933" spans="2:13" x14ac:dyDescent="0.2">
      <c r="B933" s="189">
        <v>44894</v>
      </c>
      <c r="C933" s="77">
        <v>2613.75</v>
      </c>
      <c r="L933" s="190">
        <v>44893</v>
      </c>
      <c r="M933" s="191" t="s">
        <v>1129</v>
      </c>
    </row>
    <row r="934" spans="2:13" x14ac:dyDescent="0.2">
      <c r="B934" s="189">
        <v>44893</v>
      </c>
      <c r="C934" s="77">
        <v>2592.25</v>
      </c>
      <c r="L934" s="190">
        <v>44890</v>
      </c>
      <c r="M934" s="191" t="s">
        <v>1130</v>
      </c>
    </row>
    <row r="935" spans="2:13" x14ac:dyDescent="0.2">
      <c r="B935" s="189">
        <v>44890</v>
      </c>
      <c r="C935" s="77">
        <v>2595.4</v>
      </c>
      <c r="L935" s="190">
        <v>44889</v>
      </c>
      <c r="M935" s="191" t="s">
        <v>1131</v>
      </c>
    </row>
    <row r="936" spans="2:13" x14ac:dyDescent="0.2">
      <c r="B936" s="189">
        <v>44889</v>
      </c>
      <c r="C936" s="77">
        <v>2610.1999999999998</v>
      </c>
      <c r="L936" s="190">
        <v>44888</v>
      </c>
      <c r="M936" s="191" t="s">
        <v>1132</v>
      </c>
    </row>
    <row r="937" spans="2:13" x14ac:dyDescent="0.2">
      <c r="B937" s="189">
        <v>44888</v>
      </c>
      <c r="C937" s="77">
        <v>2601.75</v>
      </c>
      <c r="L937" s="190">
        <v>44887</v>
      </c>
      <c r="M937" s="191" t="s">
        <v>1133</v>
      </c>
    </row>
    <row r="938" spans="2:13" x14ac:dyDescent="0.2">
      <c r="B938" s="189">
        <v>44887</v>
      </c>
      <c r="C938" s="77">
        <v>2606.1999999999998</v>
      </c>
      <c r="L938" s="190">
        <v>44886</v>
      </c>
      <c r="M938" s="191" t="s">
        <v>1134</v>
      </c>
    </row>
    <row r="939" spans="2:13" x14ac:dyDescent="0.2">
      <c r="B939" s="189">
        <v>44886</v>
      </c>
      <c r="C939" s="77">
        <v>2573.35</v>
      </c>
      <c r="L939" s="190">
        <v>44883</v>
      </c>
      <c r="M939" s="191" t="s">
        <v>518</v>
      </c>
    </row>
    <row r="940" spans="2:13" x14ac:dyDescent="0.2">
      <c r="B940" s="189">
        <v>44883</v>
      </c>
      <c r="C940" s="77">
        <v>2565.8000000000002</v>
      </c>
      <c r="L940" s="190">
        <v>44882</v>
      </c>
      <c r="M940" s="191" t="s">
        <v>513</v>
      </c>
    </row>
    <row r="941" spans="2:13" x14ac:dyDescent="0.2">
      <c r="B941" s="189">
        <v>44882</v>
      </c>
      <c r="C941" s="77">
        <v>2582</v>
      </c>
      <c r="L941" s="190">
        <v>44881</v>
      </c>
      <c r="M941" s="191" t="s">
        <v>1135</v>
      </c>
    </row>
    <row r="942" spans="2:13" x14ac:dyDescent="0.2">
      <c r="B942" s="189">
        <v>44881</v>
      </c>
      <c r="C942" s="77">
        <v>2644.3</v>
      </c>
      <c r="L942" s="190">
        <v>44880</v>
      </c>
      <c r="M942" s="191" t="s">
        <v>897</v>
      </c>
    </row>
    <row r="943" spans="2:13" x14ac:dyDescent="0.2">
      <c r="B943" s="189">
        <v>44880</v>
      </c>
      <c r="C943" s="77">
        <v>2656.65</v>
      </c>
      <c r="L943" s="190">
        <v>44879</v>
      </c>
      <c r="M943" s="191" t="s">
        <v>1136</v>
      </c>
    </row>
    <row r="944" spans="2:13" x14ac:dyDescent="0.2">
      <c r="B944" s="189">
        <v>44879</v>
      </c>
      <c r="C944" s="77">
        <v>2629.8</v>
      </c>
      <c r="L944" s="190">
        <v>44876</v>
      </c>
      <c r="M944" s="191" t="s">
        <v>1137</v>
      </c>
    </row>
    <row r="945" spans="2:13" x14ac:dyDescent="0.2">
      <c r="B945" s="189">
        <v>44876</v>
      </c>
      <c r="C945" s="77">
        <v>2651.8</v>
      </c>
      <c r="L945" s="190">
        <v>44875</v>
      </c>
      <c r="M945" s="191" t="s">
        <v>932</v>
      </c>
    </row>
    <row r="946" spans="2:13" x14ac:dyDescent="0.2">
      <c r="B946" s="189">
        <v>44875</v>
      </c>
      <c r="C946" s="77">
        <v>2641</v>
      </c>
      <c r="L946" s="190">
        <v>44874</v>
      </c>
      <c r="M946" s="191" t="s">
        <v>436</v>
      </c>
    </row>
    <row r="947" spans="2:13" x14ac:dyDescent="0.2">
      <c r="B947" s="189">
        <v>44874</v>
      </c>
      <c r="C947" s="77">
        <v>2718.1</v>
      </c>
      <c r="L947" s="190">
        <v>44872</v>
      </c>
      <c r="M947" s="191" t="s">
        <v>845</v>
      </c>
    </row>
    <row r="948" spans="2:13" x14ac:dyDescent="0.2">
      <c r="B948" s="189">
        <v>44872</v>
      </c>
      <c r="C948" s="77">
        <v>2741.55</v>
      </c>
      <c r="L948" s="190">
        <v>44869</v>
      </c>
      <c r="M948" s="191" t="s">
        <v>433</v>
      </c>
    </row>
    <row r="949" spans="2:13" x14ac:dyDescent="0.2">
      <c r="B949" s="189">
        <v>44869</v>
      </c>
      <c r="C949" s="77">
        <v>2769.7</v>
      </c>
      <c r="L949" s="190">
        <v>44868</v>
      </c>
      <c r="M949" s="191" t="s">
        <v>711</v>
      </c>
    </row>
    <row r="950" spans="2:13" x14ac:dyDescent="0.2">
      <c r="B950" s="189">
        <v>44868</v>
      </c>
      <c r="C950" s="77">
        <v>2763.65</v>
      </c>
      <c r="L950" s="190">
        <v>44867</v>
      </c>
      <c r="M950" s="191" t="s">
        <v>794</v>
      </c>
    </row>
    <row r="951" spans="2:13" x14ac:dyDescent="0.2">
      <c r="B951" s="189">
        <v>44867</v>
      </c>
      <c r="C951" s="77">
        <v>2728.45</v>
      </c>
      <c r="L951" s="190">
        <v>44866</v>
      </c>
      <c r="M951" s="191" t="s">
        <v>1138</v>
      </c>
    </row>
    <row r="952" spans="2:13" x14ac:dyDescent="0.2">
      <c r="B952" s="189">
        <v>44866</v>
      </c>
      <c r="C952" s="77">
        <v>2754.95</v>
      </c>
      <c r="L952" s="190">
        <v>44865</v>
      </c>
      <c r="M952" s="191" t="s">
        <v>449</v>
      </c>
    </row>
    <row r="953" spans="2:13" x14ac:dyDescent="0.2">
      <c r="B953" s="189">
        <v>44865</v>
      </c>
      <c r="C953" s="77">
        <v>2761.5</v>
      </c>
      <c r="L953" s="190">
        <v>44862</v>
      </c>
      <c r="M953" s="191" t="s">
        <v>438</v>
      </c>
    </row>
    <row r="954" spans="2:13" x14ac:dyDescent="0.2">
      <c r="B954" s="189">
        <v>44862</v>
      </c>
      <c r="C954" s="77">
        <v>2736.4</v>
      </c>
      <c r="L954" s="190">
        <v>44861</v>
      </c>
      <c r="M954" s="191" t="s">
        <v>508</v>
      </c>
    </row>
    <row r="955" spans="2:13" x14ac:dyDescent="0.2">
      <c r="B955" s="189">
        <v>44861</v>
      </c>
      <c r="C955" s="77">
        <v>2703.8</v>
      </c>
      <c r="L955" s="190">
        <v>44859</v>
      </c>
      <c r="M955" s="191" t="s">
        <v>1139</v>
      </c>
    </row>
    <row r="956" spans="2:13" x14ac:dyDescent="0.2">
      <c r="B956" s="189">
        <v>44859</v>
      </c>
      <c r="C956" s="77">
        <v>2670.3</v>
      </c>
      <c r="L956" s="190">
        <v>44858</v>
      </c>
      <c r="M956" s="191" t="s">
        <v>1140</v>
      </c>
    </row>
    <row r="957" spans="2:13" x14ac:dyDescent="0.2">
      <c r="B957" s="189">
        <v>44858</v>
      </c>
      <c r="C957" s="77">
        <v>2683.9</v>
      </c>
      <c r="L957" s="190">
        <v>44855</v>
      </c>
      <c r="M957" s="191" t="s">
        <v>1141</v>
      </c>
    </row>
    <row r="958" spans="2:13" x14ac:dyDescent="0.2">
      <c r="B958" s="189">
        <v>44855</v>
      </c>
      <c r="C958" s="77">
        <v>2665.65</v>
      </c>
      <c r="L958" s="190">
        <v>44854</v>
      </c>
      <c r="M958" s="191" t="s">
        <v>522</v>
      </c>
    </row>
    <row r="959" spans="2:13" x14ac:dyDescent="0.2">
      <c r="B959" s="189">
        <v>44854</v>
      </c>
      <c r="C959" s="77">
        <v>2631.5</v>
      </c>
      <c r="L959" s="190">
        <v>44853</v>
      </c>
      <c r="M959" s="191" t="s">
        <v>438</v>
      </c>
    </row>
    <row r="960" spans="2:13" x14ac:dyDescent="0.2">
      <c r="B960" s="189">
        <v>44853</v>
      </c>
      <c r="C960" s="77">
        <v>2644.55</v>
      </c>
      <c r="L960" s="190">
        <v>44852</v>
      </c>
      <c r="M960" s="191" t="s">
        <v>1142</v>
      </c>
    </row>
    <row r="961" spans="2:13" x14ac:dyDescent="0.2">
      <c r="B961" s="189">
        <v>44852</v>
      </c>
      <c r="C961" s="77">
        <v>2641.1</v>
      </c>
      <c r="L961" s="190">
        <v>44851</v>
      </c>
      <c r="M961" s="191" t="s">
        <v>430</v>
      </c>
    </row>
    <row r="962" spans="2:13" x14ac:dyDescent="0.2">
      <c r="B962" s="189">
        <v>44851</v>
      </c>
      <c r="C962" s="77">
        <v>2625</v>
      </c>
      <c r="L962" s="190">
        <v>44848</v>
      </c>
      <c r="M962" s="191" t="s">
        <v>1143</v>
      </c>
    </row>
    <row r="963" spans="2:13" x14ac:dyDescent="0.2">
      <c r="B963" s="189">
        <v>44848</v>
      </c>
      <c r="C963" s="77">
        <v>2617.8000000000002</v>
      </c>
      <c r="L963" s="190">
        <v>44847</v>
      </c>
      <c r="M963" s="191" t="s">
        <v>518</v>
      </c>
    </row>
    <row r="964" spans="2:13" x14ac:dyDescent="0.2">
      <c r="B964" s="189">
        <v>44847</v>
      </c>
      <c r="C964" s="77">
        <v>2598.65</v>
      </c>
      <c r="L964" s="190">
        <v>44846</v>
      </c>
      <c r="M964" s="191" t="s">
        <v>490</v>
      </c>
    </row>
    <row r="965" spans="2:13" x14ac:dyDescent="0.2">
      <c r="B965" s="189">
        <v>44846</v>
      </c>
      <c r="C965" s="77">
        <v>2621.35</v>
      </c>
      <c r="L965" s="190">
        <v>44845</v>
      </c>
      <c r="M965" s="191" t="s">
        <v>527</v>
      </c>
    </row>
    <row r="966" spans="2:13" x14ac:dyDescent="0.2">
      <c r="B966" s="189">
        <v>44845</v>
      </c>
      <c r="C966" s="77">
        <v>2624.5</v>
      </c>
      <c r="L966" s="190">
        <v>44844</v>
      </c>
      <c r="M966" s="191" t="s">
        <v>875</v>
      </c>
    </row>
    <row r="967" spans="2:13" x14ac:dyDescent="0.2">
      <c r="B967" s="189">
        <v>44844</v>
      </c>
      <c r="C967" s="77">
        <v>2680.1</v>
      </c>
      <c r="L967" s="190">
        <v>44841</v>
      </c>
      <c r="M967" s="191" t="s">
        <v>1144</v>
      </c>
    </row>
    <row r="968" spans="2:13" x14ac:dyDescent="0.2">
      <c r="B968" s="189">
        <v>44841</v>
      </c>
      <c r="C968" s="77">
        <v>2730.5</v>
      </c>
      <c r="L968" s="190">
        <v>44840</v>
      </c>
      <c r="M968" s="191" t="s">
        <v>832</v>
      </c>
    </row>
    <row r="969" spans="2:13" x14ac:dyDescent="0.2">
      <c r="B969" s="189">
        <v>44840</v>
      </c>
      <c r="C969" s="77">
        <v>2592.85</v>
      </c>
      <c r="L969" s="190">
        <v>44838</v>
      </c>
      <c r="M969" s="191" t="s">
        <v>875</v>
      </c>
    </row>
    <row r="970" spans="2:13" x14ac:dyDescent="0.2">
      <c r="B970" s="189">
        <v>44838</v>
      </c>
      <c r="C970" s="77">
        <v>2585.1</v>
      </c>
      <c r="L970" s="190">
        <v>44837</v>
      </c>
      <c r="M970" s="191" t="s">
        <v>455</v>
      </c>
    </row>
    <row r="971" spans="2:13" x14ac:dyDescent="0.2">
      <c r="B971" s="189">
        <v>44837</v>
      </c>
      <c r="C971" s="77">
        <v>2574.1999999999998</v>
      </c>
      <c r="L971" s="190">
        <v>44834</v>
      </c>
      <c r="M971" s="191" t="s">
        <v>622</v>
      </c>
    </row>
    <row r="972" spans="2:13" x14ac:dyDescent="0.2">
      <c r="B972" s="189">
        <v>44834</v>
      </c>
      <c r="C972" s="77">
        <v>2606.9499999999998</v>
      </c>
      <c r="L972" s="190">
        <v>44833</v>
      </c>
      <c r="M972" s="191" t="s">
        <v>436</v>
      </c>
    </row>
    <row r="973" spans="2:13" x14ac:dyDescent="0.2">
      <c r="B973" s="189">
        <v>44833</v>
      </c>
      <c r="C973" s="77">
        <v>2531.5</v>
      </c>
      <c r="L973" s="190">
        <v>44832</v>
      </c>
      <c r="M973" s="191" t="s">
        <v>985</v>
      </c>
    </row>
    <row r="974" spans="2:13" x14ac:dyDescent="0.2">
      <c r="B974" s="189">
        <v>44832</v>
      </c>
      <c r="C974" s="77">
        <v>2576.9499999999998</v>
      </c>
      <c r="L974" s="190">
        <v>44831</v>
      </c>
      <c r="M974" s="191" t="s">
        <v>649</v>
      </c>
    </row>
    <row r="975" spans="2:13" x14ac:dyDescent="0.2">
      <c r="B975" s="189">
        <v>44831</v>
      </c>
      <c r="C975" s="77">
        <v>2600.35</v>
      </c>
      <c r="L975" s="190">
        <v>44830</v>
      </c>
      <c r="M975" s="191" t="s">
        <v>986</v>
      </c>
    </row>
    <row r="976" spans="2:13" x14ac:dyDescent="0.2">
      <c r="B976" s="189">
        <v>44830</v>
      </c>
      <c r="C976" s="77">
        <v>2655.5</v>
      </c>
      <c r="L976" s="190">
        <v>44827</v>
      </c>
      <c r="M976" s="191" t="s">
        <v>711</v>
      </c>
    </row>
    <row r="977" spans="2:13" x14ac:dyDescent="0.2">
      <c r="B977" s="189">
        <v>44827</v>
      </c>
      <c r="C977" s="77">
        <v>2672.45</v>
      </c>
      <c r="L977" s="190">
        <v>44826</v>
      </c>
      <c r="M977" s="191" t="s">
        <v>1145</v>
      </c>
    </row>
    <row r="978" spans="2:13" x14ac:dyDescent="0.2">
      <c r="B978" s="189">
        <v>44826</v>
      </c>
      <c r="C978" s="77">
        <v>2737.6</v>
      </c>
      <c r="L978" s="190">
        <v>44825</v>
      </c>
      <c r="M978" s="191" t="s">
        <v>455</v>
      </c>
    </row>
    <row r="979" spans="2:13" x14ac:dyDescent="0.2">
      <c r="B979" s="189">
        <v>44825</v>
      </c>
      <c r="C979" s="77">
        <v>2666.65</v>
      </c>
      <c r="L979" s="190">
        <v>44824</v>
      </c>
      <c r="M979" s="191" t="s">
        <v>1146</v>
      </c>
    </row>
    <row r="980" spans="2:13" x14ac:dyDescent="0.2">
      <c r="B980" s="189">
        <v>44824</v>
      </c>
      <c r="C980" s="77">
        <v>2684</v>
      </c>
      <c r="L980" s="190">
        <v>44823</v>
      </c>
      <c r="M980" s="191" t="s">
        <v>1147</v>
      </c>
    </row>
    <row r="981" spans="2:13" x14ac:dyDescent="0.2">
      <c r="B981" s="189">
        <v>44823</v>
      </c>
      <c r="C981" s="77">
        <v>2619.8000000000002</v>
      </c>
      <c r="L981" s="190">
        <v>44820</v>
      </c>
      <c r="M981" s="191" t="s">
        <v>552</v>
      </c>
    </row>
    <row r="982" spans="2:13" x14ac:dyDescent="0.2">
      <c r="B982" s="189">
        <v>44820</v>
      </c>
      <c r="C982" s="77">
        <v>2611.8000000000002</v>
      </c>
      <c r="L982" s="190">
        <v>44819</v>
      </c>
      <c r="M982" s="191" t="s">
        <v>1148</v>
      </c>
    </row>
    <row r="983" spans="2:13" x14ac:dyDescent="0.2">
      <c r="B983" s="189">
        <v>44819</v>
      </c>
      <c r="C983" s="77">
        <v>2656.15</v>
      </c>
      <c r="L983" s="190">
        <v>44818</v>
      </c>
      <c r="M983" s="191" t="s">
        <v>1149</v>
      </c>
    </row>
    <row r="984" spans="2:13" x14ac:dyDescent="0.2">
      <c r="B984" s="189">
        <v>44818</v>
      </c>
      <c r="C984" s="77">
        <v>2700.6</v>
      </c>
      <c r="L984" s="190">
        <v>44817</v>
      </c>
      <c r="M984" s="191" t="s">
        <v>736</v>
      </c>
    </row>
    <row r="985" spans="2:13" x14ac:dyDescent="0.2">
      <c r="B985" s="189">
        <v>44817</v>
      </c>
      <c r="C985" s="77">
        <v>2705.55</v>
      </c>
      <c r="L985" s="190">
        <v>44816</v>
      </c>
      <c r="M985" s="191" t="s">
        <v>1150</v>
      </c>
    </row>
    <row r="986" spans="2:13" x14ac:dyDescent="0.2">
      <c r="B986" s="189">
        <v>44816</v>
      </c>
      <c r="C986" s="77">
        <v>2661.15</v>
      </c>
      <c r="L986" s="190">
        <v>44813</v>
      </c>
      <c r="M986" s="191" t="s">
        <v>1151</v>
      </c>
    </row>
    <row r="987" spans="2:13" x14ac:dyDescent="0.2">
      <c r="B987" s="189">
        <v>44813</v>
      </c>
      <c r="C987" s="77">
        <v>2603.4499999999998</v>
      </c>
      <c r="L987" s="190">
        <v>44812</v>
      </c>
      <c r="M987" s="191" t="s">
        <v>1152</v>
      </c>
    </row>
    <row r="988" spans="2:13" x14ac:dyDescent="0.2">
      <c r="B988" s="189">
        <v>44812</v>
      </c>
      <c r="C988" s="77">
        <v>2626.7</v>
      </c>
      <c r="L988" s="190">
        <v>44811</v>
      </c>
      <c r="M988" s="191" t="s">
        <v>1153</v>
      </c>
    </row>
    <row r="989" spans="2:13" x14ac:dyDescent="0.2">
      <c r="B989" s="189">
        <v>44811</v>
      </c>
      <c r="C989" s="77">
        <v>2637.75</v>
      </c>
      <c r="L989" s="190">
        <v>44810</v>
      </c>
      <c r="M989" s="191" t="s">
        <v>1154</v>
      </c>
    </row>
    <row r="990" spans="2:13" x14ac:dyDescent="0.2">
      <c r="B990" s="189">
        <v>44810</v>
      </c>
      <c r="C990" s="77">
        <v>2631.65</v>
      </c>
      <c r="L990" s="190">
        <v>44809</v>
      </c>
      <c r="M990" s="191" t="s">
        <v>1155</v>
      </c>
    </row>
    <row r="991" spans="2:13" x14ac:dyDescent="0.2">
      <c r="B991" s="189">
        <v>44809</v>
      </c>
      <c r="C991" s="77">
        <v>2627.35</v>
      </c>
      <c r="L991" s="190">
        <v>44806</v>
      </c>
      <c r="M991" s="191" t="s">
        <v>1156</v>
      </c>
    </row>
    <row r="992" spans="2:13" x14ac:dyDescent="0.2">
      <c r="B992" s="189">
        <v>44806</v>
      </c>
      <c r="C992" s="77">
        <v>2612.6</v>
      </c>
      <c r="L992" s="190">
        <v>44805</v>
      </c>
      <c r="M992" s="191" t="s">
        <v>851</v>
      </c>
    </row>
    <row r="993" spans="2:13" x14ac:dyDescent="0.2">
      <c r="B993" s="189">
        <v>44805</v>
      </c>
      <c r="C993" s="77">
        <v>2622</v>
      </c>
      <c r="L993" s="190">
        <v>44803</v>
      </c>
      <c r="M993" s="191" t="s">
        <v>1098</v>
      </c>
    </row>
    <row r="994" spans="2:13" x14ac:dyDescent="0.2">
      <c r="B994" s="189">
        <v>44803</v>
      </c>
      <c r="C994" s="77">
        <v>2604.65</v>
      </c>
      <c r="L994" s="190">
        <v>44802</v>
      </c>
      <c r="M994" s="191" t="s">
        <v>534</v>
      </c>
    </row>
    <row r="995" spans="2:13" x14ac:dyDescent="0.2">
      <c r="B995" s="189">
        <v>44802</v>
      </c>
      <c r="C995" s="77">
        <v>2531.6999999999998</v>
      </c>
      <c r="L995" s="190">
        <v>44799</v>
      </c>
      <c r="M995" s="191" t="s">
        <v>1157</v>
      </c>
    </row>
    <row r="996" spans="2:13" x14ac:dyDescent="0.2">
      <c r="B996" s="189">
        <v>44799</v>
      </c>
      <c r="C996" s="77">
        <v>2532.9</v>
      </c>
      <c r="L996" s="190">
        <v>44798</v>
      </c>
      <c r="M996" s="191" t="s">
        <v>1158</v>
      </c>
    </row>
    <row r="997" spans="2:13" x14ac:dyDescent="0.2">
      <c r="B997" s="189">
        <v>44798</v>
      </c>
      <c r="C997" s="77">
        <v>2466.4499999999998</v>
      </c>
      <c r="L997" s="190">
        <v>44797</v>
      </c>
      <c r="M997" s="191" t="s">
        <v>1159</v>
      </c>
    </row>
    <row r="998" spans="2:13" x14ac:dyDescent="0.2">
      <c r="B998" s="189">
        <v>44797</v>
      </c>
      <c r="C998" s="77">
        <v>2460.6999999999998</v>
      </c>
      <c r="L998" s="190">
        <v>44796</v>
      </c>
      <c r="M998" s="191" t="s">
        <v>985</v>
      </c>
    </row>
    <row r="999" spans="2:13" x14ac:dyDescent="0.2">
      <c r="B999" s="189">
        <v>44796</v>
      </c>
      <c r="C999" s="77">
        <v>2480.1999999999998</v>
      </c>
      <c r="L999" s="190">
        <v>44795</v>
      </c>
      <c r="M999" s="191" t="s">
        <v>1160</v>
      </c>
    </row>
    <row r="1000" spans="2:13" x14ac:dyDescent="0.2">
      <c r="B1000" s="189">
        <v>44795</v>
      </c>
      <c r="C1000" s="77">
        <v>2417.6</v>
      </c>
      <c r="L1000" s="190">
        <v>44792</v>
      </c>
      <c r="M1000" s="191" t="s">
        <v>1161</v>
      </c>
    </row>
    <row r="1001" spans="2:13" x14ac:dyDescent="0.2">
      <c r="B1001" s="189">
        <v>44792</v>
      </c>
      <c r="C1001" s="77">
        <v>2440.6</v>
      </c>
      <c r="L1001" s="190">
        <v>44791</v>
      </c>
      <c r="M1001" s="191" t="s">
        <v>1162</v>
      </c>
    </row>
    <row r="1002" spans="2:13" x14ac:dyDescent="0.2">
      <c r="B1002" s="189">
        <v>44791</v>
      </c>
      <c r="C1002" s="77">
        <v>2478.6999999999998</v>
      </c>
      <c r="L1002" s="190">
        <v>44790</v>
      </c>
      <c r="M1002" s="191" t="s">
        <v>1163</v>
      </c>
    </row>
    <row r="1003" spans="2:13" x14ac:dyDescent="0.2">
      <c r="B1003" s="189">
        <v>44790</v>
      </c>
      <c r="C1003" s="77">
        <v>2492.1999999999998</v>
      </c>
      <c r="L1003" s="190">
        <v>44789</v>
      </c>
      <c r="M1003" s="191" t="s">
        <v>518</v>
      </c>
    </row>
    <row r="1004" spans="2:13" x14ac:dyDescent="0.2">
      <c r="B1004" s="189">
        <v>44789</v>
      </c>
      <c r="C1004" s="77">
        <v>2493.85</v>
      </c>
      <c r="L1004" s="190">
        <v>44785</v>
      </c>
      <c r="M1004" s="191" t="s">
        <v>1164</v>
      </c>
    </row>
    <row r="1005" spans="2:13" x14ac:dyDescent="0.2">
      <c r="B1005" s="189">
        <v>44785</v>
      </c>
      <c r="C1005" s="77">
        <v>2471.9499999999998</v>
      </c>
      <c r="L1005" s="190">
        <v>44784</v>
      </c>
      <c r="M1005" s="191" t="s">
        <v>490</v>
      </c>
    </row>
    <row r="1006" spans="2:13" x14ac:dyDescent="0.2">
      <c r="B1006" s="189">
        <v>44784</v>
      </c>
      <c r="C1006" s="77">
        <v>2472.35</v>
      </c>
      <c r="L1006" s="190">
        <v>44783</v>
      </c>
      <c r="M1006" s="191" t="s">
        <v>527</v>
      </c>
    </row>
    <row r="1007" spans="2:13" x14ac:dyDescent="0.2">
      <c r="B1007" s="189">
        <v>44783</v>
      </c>
      <c r="C1007" s="77">
        <v>2433.6</v>
      </c>
      <c r="L1007" s="190">
        <v>44781</v>
      </c>
      <c r="M1007" s="191" t="s">
        <v>594</v>
      </c>
    </row>
    <row r="1008" spans="2:13" x14ac:dyDescent="0.2">
      <c r="B1008" s="189">
        <v>44781</v>
      </c>
      <c r="C1008" s="77">
        <v>2446.9499999999998</v>
      </c>
      <c r="L1008" s="190">
        <v>44778</v>
      </c>
      <c r="M1008" s="191" t="s">
        <v>1112</v>
      </c>
    </row>
    <row r="1009" spans="2:13" x14ac:dyDescent="0.2">
      <c r="B1009" s="189">
        <v>44778</v>
      </c>
      <c r="C1009" s="77">
        <v>2432.8000000000002</v>
      </c>
      <c r="L1009" s="190">
        <v>44777</v>
      </c>
      <c r="M1009" s="191" t="s">
        <v>522</v>
      </c>
    </row>
    <row r="1010" spans="2:13" x14ac:dyDescent="0.2">
      <c r="B1010" s="189">
        <v>44777</v>
      </c>
      <c r="C1010" s="77">
        <v>2423.65</v>
      </c>
      <c r="L1010" s="190">
        <v>44776</v>
      </c>
      <c r="M1010" s="191" t="s">
        <v>764</v>
      </c>
    </row>
    <row r="1011" spans="2:13" x14ac:dyDescent="0.2">
      <c r="B1011" s="189">
        <v>44776</v>
      </c>
      <c r="C1011" s="77">
        <v>2416.4</v>
      </c>
      <c r="L1011" s="190">
        <v>44775</v>
      </c>
      <c r="M1011" s="191" t="s">
        <v>1165</v>
      </c>
    </row>
    <row r="1012" spans="2:13" x14ac:dyDescent="0.2">
      <c r="B1012" s="189">
        <v>44775</v>
      </c>
      <c r="C1012" s="77">
        <v>2384.9499999999998</v>
      </c>
      <c r="L1012" s="190">
        <v>44774</v>
      </c>
      <c r="M1012" s="191" t="s">
        <v>1166</v>
      </c>
    </row>
    <row r="1013" spans="2:13" x14ac:dyDescent="0.2">
      <c r="B1013" s="189">
        <v>44774</v>
      </c>
      <c r="C1013" s="77">
        <v>2376.25</v>
      </c>
      <c r="L1013" s="190">
        <v>44771</v>
      </c>
      <c r="M1013" s="191" t="s">
        <v>460</v>
      </c>
    </row>
    <row r="1014" spans="2:13" x14ac:dyDescent="0.2">
      <c r="B1014" s="189">
        <v>44771</v>
      </c>
      <c r="C1014" s="77">
        <v>2352.0500000000002</v>
      </c>
      <c r="L1014" s="190">
        <v>44770</v>
      </c>
      <c r="M1014" s="191" t="s">
        <v>490</v>
      </c>
    </row>
    <row r="1015" spans="2:13" x14ac:dyDescent="0.2">
      <c r="B1015" s="189">
        <v>44770</v>
      </c>
      <c r="C1015" s="77">
        <v>2334.65</v>
      </c>
      <c r="L1015" s="190">
        <v>44769</v>
      </c>
      <c r="M1015" s="191" t="s">
        <v>496</v>
      </c>
    </row>
    <row r="1016" spans="2:13" x14ac:dyDescent="0.2">
      <c r="B1016" s="189">
        <v>44769</v>
      </c>
      <c r="C1016" s="77">
        <v>2303.5500000000002</v>
      </c>
      <c r="L1016" s="190">
        <v>44768</v>
      </c>
      <c r="M1016" s="191" t="s">
        <v>449</v>
      </c>
    </row>
    <row r="1017" spans="2:13" x14ac:dyDescent="0.2">
      <c r="B1017" s="189">
        <v>44768</v>
      </c>
      <c r="C1017" s="77">
        <v>2293.1999999999998</v>
      </c>
      <c r="L1017" s="190">
        <v>44767</v>
      </c>
      <c r="M1017" s="191" t="s">
        <v>649</v>
      </c>
    </row>
    <row r="1018" spans="2:13" x14ac:dyDescent="0.2">
      <c r="B1018" s="189">
        <v>44767</v>
      </c>
      <c r="C1018" s="77">
        <v>2328.85</v>
      </c>
      <c r="L1018" s="190">
        <v>44764</v>
      </c>
      <c r="M1018" s="191" t="s">
        <v>746</v>
      </c>
    </row>
    <row r="1019" spans="2:13" x14ac:dyDescent="0.2">
      <c r="B1019" s="189">
        <v>44764</v>
      </c>
      <c r="C1019" s="77">
        <v>2325</v>
      </c>
      <c r="L1019" s="190">
        <v>44763</v>
      </c>
      <c r="M1019" s="191" t="s">
        <v>471</v>
      </c>
    </row>
    <row r="1020" spans="2:13" x14ac:dyDescent="0.2">
      <c r="B1020" s="189">
        <v>44763</v>
      </c>
      <c r="C1020" s="77">
        <v>2288.6</v>
      </c>
      <c r="L1020" s="190">
        <v>44762</v>
      </c>
      <c r="M1020" s="191" t="s">
        <v>611</v>
      </c>
    </row>
    <row r="1021" spans="2:13" x14ac:dyDescent="0.2">
      <c r="B1021" s="189">
        <v>44762</v>
      </c>
      <c r="C1021" s="77">
        <v>2271.1999999999998</v>
      </c>
      <c r="L1021" s="190">
        <v>44761</v>
      </c>
      <c r="M1021" s="191" t="s">
        <v>1167</v>
      </c>
    </row>
    <row r="1022" spans="2:13" x14ac:dyDescent="0.2">
      <c r="B1022" s="189">
        <v>44761</v>
      </c>
      <c r="C1022" s="77">
        <v>2241.1999999999998</v>
      </c>
      <c r="L1022" s="190">
        <v>44760</v>
      </c>
      <c r="M1022" s="191" t="s">
        <v>1168</v>
      </c>
    </row>
    <row r="1023" spans="2:13" x14ac:dyDescent="0.2">
      <c r="B1023" s="189">
        <v>44760</v>
      </c>
      <c r="C1023" s="77">
        <v>2237.4499999999998</v>
      </c>
      <c r="L1023" s="190">
        <v>44757</v>
      </c>
      <c r="M1023" s="191" t="s">
        <v>1169</v>
      </c>
    </row>
    <row r="1024" spans="2:13" x14ac:dyDescent="0.2">
      <c r="B1024" s="189">
        <v>44757</v>
      </c>
      <c r="C1024" s="77">
        <v>2189.6999999999998</v>
      </c>
      <c r="L1024" s="190">
        <v>44756</v>
      </c>
      <c r="M1024" s="191" t="s">
        <v>1170</v>
      </c>
    </row>
    <row r="1025" spans="2:13" x14ac:dyDescent="0.2">
      <c r="B1025" s="189">
        <v>44756</v>
      </c>
      <c r="C1025" s="77">
        <v>2127.4499999999998</v>
      </c>
      <c r="L1025" s="190">
        <v>44755</v>
      </c>
      <c r="M1025" s="191" t="s">
        <v>433</v>
      </c>
    </row>
    <row r="1026" spans="2:13" x14ac:dyDescent="0.2">
      <c r="B1026" s="189">
        <v>44755</v>
      </c>
      <c r="C1026" s="77">
        <v>2111.4</v>
      </c>
      <c r="L1026" s="190">
        <v>44754</v>
      </c>
      <c r="M1026" s="191" t="s">
        <v>419</v>
      </c>
    </row>
    <row r="1027" spans="2:13" x14ac:dyDescent="0.2">
      <c r="B1027" s="189">
        <v>44754</v>
      </c>
      <c r="C1027" s="77">
        <v>2130</v>
      </c>
      <c r="L1027" s="190">
        <v>44753</v>
      </c>
      <c r="M1027" s="191" t="s">
        <v>730</v>
      </c>
    </row>
    <row r="1028" spans="2:13" x14ac:dyDescent="0.2">
      <c r="B1028" s="189">
        <v>44753</v>
      </c>
      <c r="C1028" s="77">
        <v>2163.6</v>
      </c>
      <c r="L1028" s="190">
        <v>44750</v>
      </c>
      <c r="M1028" s="191" t="s">
        <v>852</v>
      </c>
    </row>
    <row r="1029" spans="2:13" x14ac:dyDescent="0.2">
      <c r="B1029" s="189">
        <v>44750</v>
      </c>
      <c r="C1029" s="77">
        <v>2144.35</v>
      </c>
      <c r="L1029" s="190">
        <v>44749</v>
      </c>
      <c r="M1029" s="191" t="s">
        <v>1171</v>
      </c>
    </row>
    <row r="1030" spans="2:13" x14ac:dyDescent="0.2">
      <c r="B1030" s="189">
        <v>44749</v>
      </c>
      <c r="C1030" s="77">
        <v>2127.5</v>
      </c>
      <c r="L1030" s="190">
        <v>44748</v>
      </c>
      <c r="M1030" s="191" t="s">
        <v>824</v>
      </c>
    </row>
    <row r="1031" spans="2:13" x14ac:dyDescent="0.2">
      <c r="B1031" s="189">
        <v>44748</v>
      </c>
      <c r="C1031" s="77">
        <v>2013.55</v>
      </c>
      <c r="L1031" s="190">
        <v>44747</v>
      </c>
      <c r="M1031" s="191" t="s">
        <v>576</v>
      </c>
    </row>
    <row r="1032" spans="2:13" x14ac:dyDescent="0.2">
      <c r="B1032" s="189">
        <v>44747</v>
      </c>
      <c r="C1032" s="77">
        <v>1954.25</v>
      </c>
      <c r="L1032" s="190">
        <v>44746</v>
      </c>
      <c r="M1032" s="191" t="s">
        <v>522</v>
      </c>
    </row>
    <row r="1033" spans="2:13" x14ac:dyDescent="0.2">
      <c r="B1033" s="189">
        <v>44746</v>
      </c>
      <c r="C1033" s="77">
        <v>1962.5</v>
      </c>
      <c r="L1033" s="190">
        <v>44743</v>
      </c>
      <c r="M1033" s="191" t="s">
        <v>1172</v>
      </c>
    </row>
    <row r="1034" spans="2:13" x14ac:dyDescent="0.2">
      <c r="B1034" s="189">
        <v>44743</v>
      </c>
      <c r="C1034" s="77">
        <v>1946.2</v>
      </c>
      <c r="L1034" s="190">
        <v>44742</v>
      </c>
      <c r="M1034" s="191" t="s">
        <v>1173</v>
      </c>
    </row>
    <row r="1035" spans="2:13" x14ac:dyDescent="0.2">
      <c r="B1035" s="189">
        <v>44742</v>
      </c>
      <c r="C1035" s="77">
        <v>1941.25</v>
      </c>
      <c r="L1035" s="190">
        <v>44741</v>
      </c>
      <c r="M1035" s="191" t="s">
        <v>791</v>
      </c>
    </row>
    <row r="1036" spans="2:13" x14ac:dyDescent="0.2">
      <c r="B1036" s="189">
        <v>44741</v>
      </c>
      <c r="C1036" s="77">
        <v>1936.15</v>
      </c>
      <c r="L1036" s="190">
        <v>44740</v>
      </c>
      <c r="M1036" s="191" t="s">
        <v>1174</v>
      </c>
    </row>
    <row r="1037" spans="2:13" x14ac:dyDescent="0.2">
      <c r="B1037" s="189">
        <v>44740</v>
      </c>
      <c r="C1037" s="77">
        <v>1968.05</v>
      </c>
      <c r="L1037" s="190">
        <v>44739</v>
      </c>
      <c r="M1037" s="191" t="s">
        <v>527</v>
      </c>
    </row>
    <row r="1038" spans="2:13" x14ac:dyDescent="0.2">
      <c r="B1038" s="189">
        <v>44739</v>
      </c>
      <c r="C1038" s="77">
        <v>2040.3</v>
      </c>
      <c r="L1038" s="190">
        <v>44736</v>
      </c>
      <c r="M1038" s="191" t="s">
        <v>1175</v>
      </c>
    </row>
    <row r="1039" spans="2:13" x14ac:dyDescent="0.2">
      <c r="B1039" s="189">
        <v>44736</v>
      </c>
      <c r="C1039" s="77">
        <v>2045.6</v>
      </c>
      <c r="L1039" s="190">
        <v>44735</v>
      </c>
      <c r="M1039" s="191" t="s">
        <v>778</v>
      </c>
    </row>
    <row r="1040" spans="2:13" x14ac:dyDescent="0.2">
      <c r="B1040" s="189">
        <v>44735</v>
      </c>
      <c r="C1040" s="77">
        <v>2041.4</v>
      </c>
      <c r="L1040" s="190">
        <v>44734</v>
      </c>
      <c r="M1040" s="191" t="s">
        <v>884</v>
      </c>
    </row>
    <row r="1041" spans="2:13" x14ac:dyDescent="0.2">
      <c r="B1041" s="189">
        <v>44734</v>
      </c>
      <c r="C1041" s="77">
        <v>2031.2</v>
      </c>
      <c r="L1041" s="190">
        <v>44733</v>
      </c>
      <c r="M1041" s="191" t="s">
        <v>1176</v>
      </c>
    </row>
    <row r="1042" spans="2:13" x14ac:dyDescent="0.2">
      <c r="B1042" s="189">
        <v>44733</v>
      </c>
      <c r="C1042" s="77">
        <v>2078.1</v>
      </c>
      <c r="L1042" s="190">
        <v>44732</v>
      </c>
      <c r="M1042" s="191" t="s">
        <v>1177</v>
      </c>
    </row>
    <row r="1043" spans="2:13" x14ac:dyDescent="0.2">
      <c r="B1043" s="189">
        <v>44732</v>
      </c>
      <c r="C1043" s="77">
        <v>1961.7</v>
      </c>
      <c r="L1043" s="190">
        <v>44729</v>
      </c>
      <c r="M1043" s="191" t="s">
        <v>1178</v>
      </c>
    </row>
    <row r="1044" spans="2:13" x14ac:dyDescent="0.2">
      <c r="B1044" s="189">
        <v>44729</v>
      </c>
      <c r="C1044" s="77">
        <v>1936.45</v>
      </c>
      <c r="L1044" s="190">
        <v>44728</v>
      </c>
      <c r="M1044" s="191" t="s">
        <v>513</v>
      </c>
    </row>
    <row r="1045" spans="2:13" x14ac:dyDescent="0.2">
      <c r="B1045" s="189">
        <v>44728</v>
      </c>
      <c r="C1045" s="77">
        <v>2060.9499999999998</v>
      </c>
      <c r="L1045" s="190">
        <v>44727</v>
      </c>
      <c r="M1045" s="191" t="s">
        <v>1179</v>
      </c>
    </row>
    <row r="1046" spans="2:13" x14ac:dyDescent="0.2">
      <c r="B1046" s="189">
        <v>44727</v>
      </c>
      <c r="C1046" s="77">
        <v>2105.0500000000002</v>
      </c>
      <c r="L1046" s="190">
        <v>44726</v>
      </c>
      <c r="M1046" s="191" t="s">
        <v>1180</v>
      </c>
    </row>
    <row r="1047" spans="2:13" x14ac:dyDescent="0.2">
      <c r="B1047" s="189">
        <v>44726</v>
      </c>
      <c r="C1047" s="77">
        <v>2102</v>
      </c>
      <c r="L1047" s="190">
        <v>44725</v>
      </c>
      <c r="M1047" s="191" t="s">
        <v>1181</v>
      </c>
    </row>
    <row r="1048" spans="2:13" x14ac:dyDescent="0.2">
      <c r="B1048" s="189">
        <v>44725</v>
      </c>
      <c r="C1048" s="77">
        <v>2102.4</v>
      </c>
      <c r="L1048" s="190">
        <v>44722</v>
      </c>
      <c r="M1048" s="191" t="s">
        <v>1182</v>
      </c>
    </row>
    <row r="1049" spans="2:13" x14ac:dyDescent="0.2">
      <c r="B1049" s="189">
        <v>44722</v>
      </c>
      <c r="C1049" s="77">
        <v>2142.25</v>
      </c>
      <c r="L1049" s="190">
        <v>44721</v>
      </c>
      <c r="M1049" s="191" t="s">
        <v>518</v>
      </c>
    </row>
    <row r="1050" spans="2:13" x14ac:dyDescent="0.2">
      <c r="B1050" s="189">
        <v>44721</v>
      </c>
      <c r="C1050" s="77">
        <v>2139.6999999999998</v>
      </c>
      <c r="L1050" s="190">
        <v>44720</v>
      </c>
      <c r="M1050" s="191" t="s">
        <v>454</v>
      </c>
    </row>
    <row r="1051" spans="2:13" x14ac:dyDescent="0.2">
      <c r="B1051" s="189">
        <v>44720</v>
      </c>
      <c r="C1051" s="77">
        <v>2128.85</v>
      </c>
      <c r="L1051" s="190">
        <v>44719</v>
      </c>
      <c r="M1051" s="191" t="s">
        <v>1183</v>
      </c>
    </row>
    <row r="1052" spans="2:13" x14ac:dyDescent="0.2">
      <c r="B1052" s="189">
        <v>44719</v>
      </c>
      <c r="C1052" s="77">
        <v>2100.8000000000002</v>
      </c>
      <c r="L1052" s="190">
        <v>44718</v>
      </c>
      <c r="M1052" s="191" t="s">
        <v>875</v>
      </c>
    </row>
    <row r="1053" spans="2:13" x14ac:dyDescent="0.2">
      <c r="B1053" s="189">
        <v>44718</v>
      </c>
      <c r="C1053" s="77">
        <v>2198.5500000000002</v>
      </c>
      <c r="L1053" s="190">
        <v>44715</v>
      </c>
      <c r="M1053" s="191" t="s">
        <v>711</v>
      </c>
    </row>
    <row r="1054" spans="2:13" x14ac:dyDescent="0.2">
      <c r="B1054" s="189">
        <v>44715</v>
      </c>
      <c r="C1054" s="77">
        <v>2204.4</v>
      </c>
      <c r="L1054" s="190">
        <v>44714</v>
      </c>
      <c r="M1054" s="191" t="s">
        <v>1184</v>
      </c>
    </row>
    <row r="1055" spans="2:13" x14ac:dyDescent="0.2">
      <c r="B1055" s="189">
        <v>44714</v>
      </c>
      <c r="C1055" s="77">
        <v>2220.9499999999998</v>
      </c>
      <c r="L1055" s="190">
        <v>44713</v>
      </c>
      <c r="M1055" s="191" t="s">
        <v>1185</v>
      </c>
    </row>
    <row r="1056" spans="2:13" x14ac:dyDescent="0.2">
      <c r="B1056" s="189">
        <v>44713</v>
      </c>
      <c r="C1056" s="77">
        <v>2197.6</v>
      </c>
      <c r="L1056" s="190">
        <v>44712</v>
      </c>
      <c r="M1056" s="191" t="s">
        <v>1186</v>
      </c>
    </row>
    <row r="1057" spans="2:13" x14ac:dyDescent="0.2">
      <c r="B1057" s="189">
        <v>44712</v>
      </c>
      <c r="C1057" s="77">
        <v>2216</v>
      </c>
      <c r="L1057" s="190">
        <v>44711</v>
      </c>
      <c r="M1057" s="191" t="s">
        <v>905</v>
      </c>
    </row>
    <row r="1058" spans="2:13" x14ac:dyDescent="0.2">
      <c r="B1058" s="189">
        <v>44711</v>
      </c>
      <c r="C1058" s="77">
        <v>2255.9</v>
      </c>
      <c r="L1058" s="190">
        <v>44708</v>
      </c>
      <c r="M1058" s="191" t="s">
        <v>1187</v>
      </c>
    </row>
    <row r="1059" spans="2:13" x14ac:dyDescent="0.2">
      <c r="B1059" s="189">
        <v>44708</v>
      </c>
      <c r="C1059" s="77">
        <v>2149.1999999999998</v>
      </c>
      <c r="L1059" s="190">
        <v>44707</v>
      </c>
      <c r="M1059" s="191" t="s">
        <v>495</v>
      </c>
    </row>
    <row r="1060" spans="2:13" x14ac:dyDescent="0.2">
      <c r="B1060" s="189">
        <v>44707</v>
      </c>
      <c r="C1060" s="77">
        <v>2141.9499999999998</v>
      </c>
      <c r="L1060" s="190">
        <v>44706</v>
      </c>
      <c r="M1060" s="191" t="s">
        <v>490</v>
      </c>
    </row>
    <row r="1061" spans="2:13" x14ac:dyDescent="0.2">
      <c r="B1061" s="189">
        <v>44706</v>
      </c>
      <c r="C1061" s="77">
        <v>2113.4</v>
      </c>
      <c r="L1061" s="190">
        <v>44705</v>
      </c>
      <c r="M1061" s="191" t="s">
        <v>534</v>
      </c>
    </row>
    <row r="1062" spans="2:13" x14ac:dyDescent="0.2">
      <c r="B1062" s="189">
        <v>44705</v>
      </c>
      <c r="C1062" s="77">
        <v>2140.25</v>
      </c>
      <c r="L1062" s="190">
        <v>44704</v>
      </c>
      <c r="M1062" s="191" t="s">
        <v>1145</v>
      </c>
    </row>
    <row r="1063" spans="2:13" x14ac:dyDescent="0.2">
      <c r="B1063" s="189">
        <v>44704</v>
      </c>
      <c r="C1063" s="77">
        <v>2151.3000000000002</v>
      </c>
      <c r="L1063" s="190">
        <v>44701</v>
      </c>
      <c r="M1063" s="191" t="s">
        <v>522</v>
      </c>
    </row>
    <row r="1064" spans="2:13" x14ac:dyDescent="0.2">
      <c r="B1064" s="189">
        <v>44701</v>
      </c>
      <c r="C1064" s="77">
        <v>2137.0500000000002</v>
      </c>
      <c r="L1064" s="190">
        <v>44700</v>
      </c>
      <c r="M1064" s="191" t="s">
        <v>1188</v>
      </c>
    </row>
    <row r="1065" spans="2:13" x14ac:dyDescent="0.2">
      <c r="B1065" s="189">
        <v>44700</v>
      </c>
      <c r="C1065" s="77">
        <v>2111.9499999999998</v>
      </c>
      <c r="L1065" s="190">
        <v>44699</v>
      </c>
      <c r="M1065" s="191" t="s">
        <v>746</v>
      </c>
    </row>
    <row r="1066" spans="2:13" x14ac:dyDescent="0.2">
      <c r="B1066" s="189">
        <v>44699</v>
      </c>
      <c r="C1066" s="77">
        <v>2166.75</v>
      </c>
      <c r="L1066" s="190">
        <v>44698</v>
      </c>
      <c r="M1066" s="191" t="s">
        <v>591</v>
      </c>
    </row>
    <row r="1067" spans="2:13" x14ac:dyDescent="0.2">
      <c r="B1067" s="189">
        <v>44698</v>
      </c>
      <c r="C1067" s="77">
        <v>2176.35</v>
      </c>
      <c r="L1067" s="190">
        <v>44697</v>
      </c>
      <c r="M1067" s="191" t="s">
        <v>986</v>
      </c>
    </row>
    <row r="1068" spans="2:13" x14ac:dyDescent="0.2">
      <c r="B1068" s="189">
        <v>44697</v>
      </c>
      <c r="C1068" s="77">
        <v>2109.6</v>
      </c>
      <c r="L1068" s="190">
        <v>44694</v>
      </c>
      <c r="M1068" s="191" t="s">
        <v>1189</v>
      </c>
    </row>
    <row r="1069" spans="2:13" x14ac:dyDescent="0.2">
      <c r="B1069" s="189">
        <v>44694</v>
      </c>
      <c r="C1069" s="77">
        <v>2091.6999999999998</v>
      </c>
      <c r="L1069" s="190">
        <v>44693</v>
      </c>
      <c r="M1069" s="191" t="s">
        <v>569</v>
      </c>
    </row>
    <row r="1070" spans="2:13" x14ac:dyDescent="0.2">
      <c r="B1070" s="189">
        <v>44693</v>
      </c>
      <c r="C1070" s="77">
        <v>2048.5500000000002</v>
      </c>
      <c r="L1070" s="190">
        <v>44692</v>
      </c>
      <c r="M1070" s="191" t="s">
        <v>1077</v>
      </c>
    </row>
    <row r="1071" spans="2:13" x14ac:dyDescent="0.2">
      <c r="B1071" s="189">
        <v>44692</v>
      </c>
      <c r="C1071" s="77">
        <v>2114.6999999999998</v>
      </c>
      <c r="L1071" s="190">
        <v>44691</v>
      </c>
      <c r="M1071" s="191" t="s">
        <v>548</v>
      </c>
    </row>
    <row r="1072" spans="2:13" x14ac:dyDescent="0.2">
      <c r="B1072" s="189">
        <v>44691</v>
      </c>
      <c r="C1072" s="77">
        <v>2137.35</v>
      </c>
      <c r="L1072" s="190">
        <v>44690</v>
      </c>
      <c r="M1072" s="191" t="s">
        <v>1190</v>
      </c>
    </row>
    <row r="1073" spans="2:13" x14ac:dyDescent="0.2">
      <c r="B1073" s="189">
        <v>44690</v>
      </c>
      <c r="C1073" s="77">
        <v>2183.1999999999998</v>
      </c>
      <c r="L1073" s="190">
        <v>44687</v>
      </c>
      <c r="M1073" s="191" t="s">
        <v>1077</v>
      </c>
    </row>
    <row r="1074" spans="2:13" x14ac:dyDescent="0.2">
      <c r="B1074" s="189">
        <v>44687</v>
      </c>
      <c r="C1074" s="77">
        <v>2208.75</v>
      </c>
      <c r="L1074" s="190">
        <v>44686</v>
      </c>
      <c r="M1074" s="191" t="s">
        <v>508</v>
      </c>
    </row>
    <row r="1075" spans="2:13" x14ac:dyDescent="0.2">
      <c r="B1075" s="189">
        <v>44686</v>
      </c>
      <c r="C1075" s="77">
        <v>2262</v>
      </c>
      <c r="L1075" s="190">
        <v>44685</v>
      </c>
      <c r="M1075" s="191" t="s">
        <v>1191</v>
      </c>
    </row>
    <row r="1076" spans="2:13" x14ac:dyDescent="0.2">
      <c r="B1076" s="189">
        <v>44685</v>
      </c>
      <c r="C1076" s="77">
        <v>2289.9499999999998</v>
      </c>
      <c r="L1076" s="190">
        <v>44683</v>
      </c>
      <c r="M1076" s="191" t="s">
        <v>875</v>
      </c>
    </row>
    <row r="1077" spans="2:13" x14ac:dyDescent="0.2">
      <c r="B1077" s="189">
        <v>44683</v>
      </c>
      <c r="C1077" s="77">
        <v>2386.5500000000002</v>
      </c>
      <c r="L1077" s="190">
        <v>44680</v>
      </c>
      <c r="M1077" s="191" t="s">
        <v>850</v>
      </c>
    </row>
    <row r="1078" spans="2:13" x14ac:dyDescent="0.2">
      <c r="B1078" s="189">
        <v>44680</v>
      </c>
      <c r="C1078" s="77">
        <v>2458.1999999999998</v>
      </c>
      <c r="L1078" s="190">
        <v>44679</v>
      </c>
      <c r="M1078" s="191" t="s">
        <v>1192</v>
      </c>
    </row>
    <row r="1079" spans="2:13" x14ac:dyDescent="0.2">
      <c r="B1079" s="189">
        <v>44679</v>
      </c>
      <c r="C1079" s="77">
        <v>2513.1999999999998</v>
      </c>
      <c r="L1079" s="190">
        <v>44678</v>
      </c>
      <c r="M1079" s="191" t="s">
        <v>1193</v>
      </c>
    </row>
    <row r="1080" spans="2:13" x14ac:dyDescent="0.2">
      <c r="B1080" s="189">
        <v>44678</v>
      </c>
      <c r="C1080" s="77">
        <v>2492.35</v>
      </c>
      <c r="L1080" s="190">
        <v>44677</v>
      </c>
      <c r="M1080" s="191" t="s">
        <v>711</v>
      </c>
    </row>
    <row r="1081" spans="2:13" x14ac:dyDescent="0.2">
      <c r="B1081" s="189">
        <v>44677</v>
      </c>
      <c r="C1081" s="77">
        <v>2548.1999999999998</v>
      </c>
      <c r="L1081" s="190">
        <v>44676</v>
      </c>
      <c r="M1081" s="191" t="s">
        <v>1194</v>
      </c>
    </row>
    <row r="1082" spans="2:13" x14ac:dyDescent="0.2">
      <c r="B1082" s="189">
        <v>44676</v>
      </c>
      <c r="C1082" s="77">
        <v>2453.9</v>
      </c>
      <c r="L1082" s="190">
        <v>44673</v>
      </c>
      <c r="M1082" s="191" t="s">
        <v>1195</v>
      </c>
    </row>
    <row r="1083" spans="2:13" x14ac:dyDescent="0.2">
      <c r="B1083" s="189">
        <v>44673</v>
      </c>
      <c r="C1083" s="77">
        <v>2512.6999999999998</v>
      </c>
      <c r="L1083" s="190">
        <v>44672</v>
      </c>
      <c r="M1083" s="191" t="s">
        <v>1196</v>
      </c>
    </row>
    <row r="1084" spans="2:13" x14ac:dyDescent="0.2">
      <c r="B1084" s="189">
        <v>44672</v>
      </c>
      <c r="C1084" s="77">
        <v>2521</v>
      </c>
      <c r="L1084" s="190">
        <v>44671</v>
      </c>
      <c r="M1084" s="191" t="s">
        <v>1197</v>
      </c>
    </row>
    <row r="1085" spans="2:13" x14ac:dyDescent="0.2">
      <c r="B1085" s="189">
        <v>44671</v>
      </c>
      <c r="C1085" s="77">
        <v>2482.6999999999998</v>
      </c>
      <c r="L1085" s="190">
        <v>44670</v>
      </c>
      <c r="M1085" s="191" t="s">
        <v>1198</v>
      </c>
    </row>
    <row r="1086" spans="2:13" x14ac:dyDescent="0.2">
      <c r="B1086" s="189">
        <v>44670</v>
      </c>
      <c r="C1086" s="77">
        <v>2452.6</v>
      </c>
      <c r="L1086" s="190">
        <v>44669</v>
      </c>
      <c r="M1086" s="191" t="s">
        <v>430</v>
      </c>
    </row>
    <row r="1087" spans="2:13" x14ac:dyDescent="0.2">
      <c r="B1087" s="189">
        <v>44669</v>
      </c>
      <c r="C1087" s="77">
        <v>2493.4499999999998</v>
      </c>
      <c r="L1087" s="190">
        <v>44664</v>
      </c>
      <c r="M1087" s="191" t="s">
        <v>433</v>
      </c>
    </row>
    <row r="1088" spans="2:13" x14ac:dyDescent="0.2">
      <c r="B1088" s="189">
        <v>44664</v>
      </c>
      <c r="C1088" s="77">
        <v>2461.35</v>
      </c>
      <c r="L1088" s="190">
        <v>44663</v>
      </c>
      <c r="M1088" s="191" t="s">
        <v>436</v>
      </c>
    </row>
    <row r="1089" spans="2:13" x14ac:dyDescent="0.2">
      <c r="B1089" s="189">
        <v>44663</v>
      </c>
      <c r="C1089" s="77">
        <v>2488.1999999999998</v>
      </c>
      <c r="L1089" s="190">
        <v>44662</v>
      </c>
      <c r="M1089" s="191" t="s">
        <v>1199</v>
      </c>
    </row>
    <row r="1090" spans="2:13" x14ac:dyDescent="0.2">
      <c r="B1090" s="189">
        <v>44662</v>
      </c>
      <c r="C1090" s="77">
        <v>2489.85</v>
      </c>
      <c r="L1090" s="190">
        <v>44659</v>
      </c>
      <c r="M1090" s="191" t="s">
        <v>730</v>
      </c>
    </row>
    <row r="1091" spans="2:13" x14ac:dyDescent="0.2">
      <c r="B1091" s="189">
        <v>44659</v>
      </c>
      <c r="C1091" s="77">
        <v>2509.9499999999998</v>
      </c>
      <c r="L1091" s="190">
        <v>44658</v>
      </c>
      <c r="M1091" s="191" t="s">
        <v>1200</v>
      </c>
    </row>
    <row r="1092" spans="2:13" x14ac:dyDescent="0.2">
      <c r="B1092" s="189">
        <v>44658</v>
      </c>
      <c r="C1092" s="77">
        <v>2458.35</v>
      </c>
      <c r="L1092" s="190">
        <v>44657</v>
      </c>
      <c r="M1092" s="191" t="s">
        <v>1145</v>
      </c>
    </row>
    <row r="1093" spans="2:13" x14ac:dyDescent="0.2">
      <c r="B1093" s="189">
        <v>44657</v>
      </c>
      <c r="C1093" s="77">
        <v>2540.0500000000002</v>
      </c>
      <c r="L1093" s="190">
        <v>44656</v>
      </c>
      <c r="M1093" s="191" t="s">
        <v>859</v>
      </c>
    </row>
    <row r="1094" spans="2:13" x14ac:dyDescent="0.2">
      <c r="B1094" s="189">
        <v>44656</v>
      </c>
      <c r="C1094" s="77">
        <v>2549.1999999999998</v>
      </c>
      <c r="L1094" s="190">
        <v>44655</v>
      </c>
      <c r="M1094" s="191" t="s">
        <v>985</v>
      </c>
    </row>
    <row r="1095" spans="2:13" x14ac:dyDescent="0.2">
      <c r="B1095" s="189">
        <v>44655</v>
      </c>
      <c r="C1095" s="77">
        <v>2517</v>
      </c>
      <c r="L1095" s="190">
        <v>44652</v>
      </c>
      <c r="M1095" s="191" t="s">
        <v>764</v>
      </c>
    </row>
    <row r="1096" spans="2:13" x14ac:dyDescent="0.2">
      <c r="B1096" s="189">
        <v>44652</v>
      </c>
      <c r="C1096" s="77">
        <v>2520.85</v>
      </c>
      <c r="L1096" s="190">
        <v>44651</v>
      </c>
      <c r="M1096" s="191" t="s">
        <v>1201</v>
      </c>
    </row>
    <row r="1097" spans="2:13" x14ac:dyDescent="0.2">
      <c r="B1097" s="189">
        <v>44651</v>
      </c>
      <c r="C1097" s="77">
        <v>2536.15</v>
      </c>
      <c r="L1097" s="190">
        <v>44650</v>
      </c>
      <c r="M1097" s="191" t="s">
        <v>1202</v>
      </c>
    </row>
    <row r="1098" spans="2:13" x14ac:dyDescent="0.2">
      <c r="B1098" s="189">
        <v>44650</v>
      </c>
      <c r="C1098" s="77">
        <v>2523.15</v>
      </c>
      <c r="L1098" s="190">
        <v>44649</v>
      </c>
      <c r="M1098" s="191" t="s">
        <v>1203</v>
      </c>
    </row>
    <row r="1099" spans="2:13" x14ac:dyDescent="0.2">
      <c r="B1099" s="189">
        <v>44649</v>
      </c>
      <c r="C1099" s="77">
        <v>2538.8000000000002</v>
      </c>
      <c r="L1099" s="190">
        <v>44648</v>
      </c>
      <c r="M1099" s="191" t="s">
        <v>441</v>
      </c>
    </row>
    <row r="1100" spans="2:13" x14ac:dyDescent="0.2">
      <c r="B1100" s="189">
        <v>44648</v>
      </c>
      <c r="C1100" s="77">
        <v>2535.9</v>
      </c>
      <c r="L1100" s="190">
        <v>44645</v>
      </c>
      <c r="M1100" s="191" t="s">
        <v>715</v>
      </c>
    </row>
    <row r="1101" spans="2:13" x14ac:dyDescent="0.2">
      <c r="B1101" s="189">
        <v>44645</v>
      </c>
      <c r="C1101" s="77">
        <v>2523.9</v>
      </c>
      <c r="L1101" s="190">
        <v>44644</v>
      </c>
      <c r="M1101" s="191" t="s">
        <v>1204</v>
      </c>
    </row>
    <row r="1102" spans="2:13" x14ac:dyDescent="0.2">
      <c r="B1102" s="189">
        <v>44644</v>
      </c>
      <c r="C1102" s="77">
        <v>2618.5</v>
      </c>
      <c r="L1102" s="190">
        <v>44643</v>
      </c>
      <c r="M1102" s="191" t="s">
        <v>434</v>
      </c>
    </row>
    <row r="1103" spans="2:13" x14ac:dyDescent="0.2">
      <c r="B1103" s="189">
        <v>44643</v>
      </c>
      <c r="C1103" s="77">
        <v>2690</v>
      </c>
      <c r="L1103" s="190">
        <v>44642</v>
      </c>
      <c r="M1103" s="191" t="s">
        <v>434</v>
      </c>
    </row>
    <row r="1104" spans="2:13" x14ac:dyDescent="0.2">
      <c r="B1104" s="189">
        <v>44642</v>
      </c>
      <c r="C1104" s="77">
        <v>2712.75</v>
      </c>
      <c r="L1104" s="190">
        <v>44641</v>
      </c>
      <c r="M1104" s="191" t="s">
        <v>797</v>
      </c>
    </row>
    <row r="1105" spans="2:13" x14ac:dyDescent="0.2">
      <c r="B1105" s="189">
        <v>44641</v>
      </c>
      <c r="C1105" s="77">
        <v>2707.25</v>
      </c>
      <c r="L1105" s="190">
        <v>44637</v>
      </c>
      <c r="M1105" s="191" t="s">
        <v>546</v>
      </c>
    </row>
    <row r="1106" spans="2:13" x14ac:dyDescent="0.2">
      <c r="B1106" s="189">
        <v>44637</v>
      </c>
      <c r="C1106" s="77">
        <v>2703</v>
      </c>
      <c r="L1106" s="190">
        <v>44636</v>
      </c>
      <c r="M1106" s="191" t="s">
        <v>1205</v>
      </c>
    </row>
    <row r="1107" spans="2:13" x14ac:dyDescent="0.2">
      <c r="B1107" s="189">
        <v>44636</v>
      </c>
      <c r="C1107" s="77">
        <v>2587.3000000000002</v>
      </c>
      <c r="L1107" s="190">
        <v>44635</v>
      </c>
      <c r="M1107" s="191" t="s">
        <v>511</v>
      </c>
    </row>
    <row r="1108" spans="2:13" x14ac:dyDescent="0.2">
      <c r="B1108" s="189">
        <v>44635</v>
      </c>
      <c r="C1108" s="77">
        <v>2556.9499999999998</v>
      </c>
      <c r="L1108" s="190">
        <v>44634</v>
      </c>
      <c r="M1108" s="191" t="s">
        <v>438</v>
      </c>
    </row>
    <row r="1109" spans="2:13" x14ac:dyDescent="0.2">
      <c r="B1109" s="189">
        <v>44634</v>
      </c>
      <c r="C1109" s="77">
        <v>2539</v>
      </c>
      <c r="L1109" s="190">
        <v>44631</v>
      </c>
      <c r="M1109" s="191" t="s">
        <v>1206</v>
      </c>
    </row>
    <row r="1110" spans="2:13" x14ac:dyDescent="0.2">
      <c r="B1110" s="189">
        <v>44631</v>
      </c>
      <c r="C1110" s="77">
        <v>2493.6</v>
      </c>
      <c r="L1110" s="190">
        <v>44630</v>
      </c>
      <c r="M1110" s="191" t="s">
        <v>455</v>
      </c>
    </row>
    <row r="1111" spans="2:13" x14ac:dyDescent="0.2">
      <c r="B1111" s="189">
        <v>44630</v>
      </c>
      <c r="C1111" s="77">
        <v>2467.8000000000002</v>
      </c>
      <c r="L1111" s="190">
        <v>44629</v>
      </c>
      <c r="M1111" s="191" t="s">
        <v>594</v>
      </c>
    </row>
    <row r="1112" spans="2:13" x14ac:dyDescent="0.2">
      <c r="B1112" s="189">
        <v>44629</v>
      </c>
      <c r="C1112" s="77">
        <v>2433.65</v>
      </c>
      <c r="L1112" s="190">
        <v>44628</v>
      </c>
      <c r="M1112" s="191" t="s">
        <v>1077</v>
      </c>
    </row>
    <row r="1113" spans="2:13" x14ac:dyDescent="0.2">
      <c r="B1113" s="189">
        <v>44628</v>
      </c>
      <c r="C1113" s="77">
        <v>2371.25</v>
      </c>
      <c r="L1113" s="190">
        <v>44627</v>
      </c>
      <c r="M1113" s="191" t="s">
        <v>1207</v>
      </c>
    </row>
    <row r="1114" spans="2:13" x14ac:dyDescent="0.2">
      <c r="B1114" s="189">
        <v>44627</v>
      </c>
      <c r="C1114" s="77">
        <v>2389.6999999999998</v>
      </c>
      <c r="L1114" s="190">
        <v>44624</v>
      </c>
      <c r="M1114" s="191" t="s">
        <v>1208</v>
      </c>
    </row>
    <row r="1115" spans="2:13" x14ac:dyDescent="0.2">
      <c r="B1115" s="189">
        <v>44624</v>
      </c>
      <c r="C1115" s="77">
        <v>2441</v>
      </c>
      <c r="L1115" s="190">
        <v>44623</v>
      </c>
      <c r="M1115" s="191" t="s">
        <v>777</v>
      </c>
    </row>
    <row r="1116" spans="2:13" x14ac:dyDescent="0.2">
      <c r="B1116" s="189">
        <v>44623</v>
      </c>
      <c r="C1116" s="77">
        <v>2574.25</v>
      </c>
      <c r="L1116" s="190">
        <v>44622</v>
      </c>
      <c r="M1116" s="191" t="s">
        <v>1209</v>
      </c>
    </row>
    <row r="1117" spans="2:13" x14ac:dyDescent="0.2">
      <c r="B1117" s="189">
        <v>44622</v>
      </c>
      <c r="C1117" s="77">
        <v>2592.65</v>
      </c>
      <c r="L1117" s="190">
        <v>44620</v>
      </c>
      <c r="M1117" s="191" t="s">
        <v>1191</v>
      </c>
    </row>
    <row r="1118" spans="2:13" x14ac:dyDescent="0.2">
      <c r="B1118" s="189">
        <v>44620</v>
      </c>
      <c r="C1118" s="77">
        <v>2546.5500000000002</v>
      </c>
      <c r="L1118" s="190">
        <v>44617</v>
      </c>
      <c r="M1118" s="191" t="s">
        <v>434</v>
      </c>
    </row>
    <row r="1119" spans="2:13" x14ac:dyDescent="0.2">
      <c r="B1119" s="189">
        <v>44617</v>
      </c>
      <c r="C1119" s="77">
        <v>2468.4499999999998</v>
      </c>
      <c r="L1119" s="190">
        <v>44616</v>
      </c>
      <c r="M1119" s="191" t="s">
        <v>1210</v>
      </c>
    </row>
    <row r="1120" spans="2:13" x14ac:dyDescent="0.2">
      <c r="B1120" s="189">
        <v>44616</v>
      </c>
      <c r="C1120" s="77">
        <v>2406.6</v>
      </c>
      <c r="L1120" s="190">
        <v>44615</v>
      </c>
      <c r="M1120" s="191" t="s">
        <v>1211</v>
      </c>
    </row>
    <row r="1121" spans="2:13" x14ac:dyDescent="0.2">
      <c r="B1121" s="189">
        <v>44615</v>
      </c>
      <c r="C1121" s="77">
        <v>2495.6999999999998</v>
      </c>
      <c r="L1121" s="190">
        <v>44614</v>
      </c>
      <c r="M1121" s="191" t="s">
        <v>1212</v>
      </c>
    </row>
    <row r="1122" spans="2:13" x14ac:dyDescent="0.2">
      <c r="B1122" s="189">
        <v>44614</v>
      </c>
      <c r="C1122" s="77">
        <v>2450.1</v>
      </c>
      <c r="L1122" s="190">
        <v>44613</v>
      </c>
      <c r="M1122" s="191" t="s">
        <v>1213</v>
      </c>
    </row>
    <row r="1123" spans="2:13" x14ac:dyDescent="0.2">
      <c r="B1123" s="189">
        <v>44613</v>
      </c>
      <c r="C1123" s="77">
        <v>2454.35</v>
      </c>
      <c r="L1123" s="190">
        <v>44610</v>
      </c>
      <c r="M1123" s="191" t="s">
        <v>1214</v>
      </c>
    </row>
    <row r="1124" spans="2:13" x14ac:dyDescent="0.2">
      <c r="B1124" s="189">
        <v>44610</v>
      </c>
      <c r="C1124" s="77">
        <v>2488.9499999999998</v>
      </c>
      <c r="L1124" s="190">
        <v>44609</v>
      </c>
      <c r="M1124" s="191" t="s">
        <v>1215</v>
      </c>
    </row>
    <row r="1125" spans="2:13" x14ac:dyDescent="0.2">
      <c r="B1125" s="189">
        <v>44609</v>
      </c>
      <c r="C1125" s="77">
        <v>2493.1999999999998</v>
      </c>
      <c r="L1125" s="190">
        <v>44608</v>
      </c>
      <c r="M1125" s="191" t="s">
        <v>525</v>
      </c>
    </row>
    <row r="1126" spans="2:13" x14ac:dyDescent="0.2">
      <c r="B1126" s="189">
        <v>44608</v>
      </c>
      <c r="C1126" s="77">
        <v>2488.0500000000002</v>
      </c>
      <c r="L1126" s="190">
        <v>44607</v>
      </c>
      <c r="M1126" s="191" t="s">
        <v>875</v>
      </c>
    </row>
    <row r="1127" spans="2:13" x14ac:dyDescent="0.2">
      <c r="B1127" s="189">
        <v>44607</v>
      </c>
      <c r="C1127" s="77">
        <v>2495.9</v>
      </c>
      <c r="L1127" s="190">
        <v>44606</v>
      </c>
      <c r="M1127" s="191" t="s">
        <v>1216</v>
      </c>
    </row>
    <row r="1128" spans="2:13" x14ac:dyDescent="0.2">
      <c r="B1128" s="189">
        <v>44606</v>
      </c>
      <c r="C1128" s="77">
        <v>2398</v>
      </c>
      <c r="L1128" s="190">
        <v>44603</v>
      </c>
      <c r="M1128" s="191" t="s">
        <v>897</v>
      </c>
    </row>
    <row r="1129" spans="2:13" x14ac:dyDescent="0.2">
      <c r="B1129" s="189">
        <v>44603</v>
      </c>
      <c r="C1129" s="77">
        <v>2442.25</v>
      </c>
      <c r="L1129" s="190">
        <v>44602</v>
      </c>
      <c r="M1129" s="191" t="s">
        <v>1217</v>
      </c>
    </row>
    <row r="1130" spans="2:13" x14ac:dyDescent="0.2">
      <c r="B1130" s="189">
        <v>44602</v>
      </c>
      <c r="C1130" s="77">
        <v>2491.85</v>
      </c>
      <c r="L1130" s="190">
        <v>44601</v>
      </c>
      <c r="M1130" s="191" t="s">
        <v>1218</v>
      </c>
    </row>
    <row r="1131" spans="2:13" x14ac:dyDescent="0.2">
      <c r="B1131" s="189">
        <v>44601</v>
      </c>
      <c r="C1131" s="77">
        <v>2484.8000000000002</v>
      </c>
      <c r="L1131" s="190">
        <v>44600</v>
      </c>
      <c r="M1131" s="191" t="s">
        <v>1099</v>
      </c>
    </row>
    <row r="1132" spans="2:13" x14ac:dyDescent="0.2">
      <c r="B1132" s="189">
        <v>44600</v>
      </c>
      <c r="C1132" s="77">
        <v>2443.65</v>
      </c>
      <c r="L1132" s="190">
        <v>44599</v>
      </c>
      <c r="M1132" s="191" t="s">
        <v>471</v>
      </c>
    </row>
    <row r="1133" spans="2:13" x14ac:dyDescent="0.2">
      <c r="B1133" s="189">
        <v>44599</v>
      </c>
      <c r="C1133" s="77">
        <v>2409.1999999999998</v>
      </c>
      <c r="L1133" s="190">
        <v>44596</v>
      </c>
      <c r="M1133" s="191" t="s">
        <v>1219</v>
      </c>
    </row>
    <row r="1134" spans="2:13" x14ac:dyDescent="0.2">
      <c r="B1134" s="189">
        <v>44596</v>
      </c>
      <c r="C1134" s="77">
        <v>2471.15</v>
      </c>
      <c r="L1134" s="190">
        <v>44595</v>
      </c>
      <c r="M1134" s="191" t="s">
        <v>1220</v>
      </c>
    </row>
    <row r="1135" spans="2:13" x14ac:dyDescent="0.2">
      <c r="B1135" s="189">
        <v>44595</v>
      </c>
      <c r="C1135" s="77">
        <v>2474.9499999999998</v>
      </c>
      <c r="L1135" s="190">
        <v>44594</v>
      </c>
      <c r="M1135" s="191" t="s">
        <v>449</v>
      </c>
    </row>
    <row r="1136" spans="2:13" x14ac:dyDescent="0.2">
      <c r="B1136" s="189">
        <v>44594</v>
      </c>
      <c r="C1136" s="77">
        <v>2464</v>
      </c>
      <c r="L1136" s="190">
        <v>44593</v>
      </c>
      <c r="M1136" s="191" t="s">
        <v>649</v>
      </c>
    </row>
    <row r="1137" spans="2:13" x14ac:dyDescent="0.2">
      <c r="B1137" s="189">
        <v>44593</v>
      </c>
      <c r="C1137" s="77">
        <v>2431.8000000000002</v>
      </c>
      <c r="L1137" s="190">
        <v>44592</v>
      </c>
      <c r="M1137" s="191" t="s">
        <v>1221</v>
      </c>
    </row>
    <row r="1138" spans="2:13" x14ac:dyDescent="0.2">
      <c r="B1138" s="189">
        <v>44592</v>
      </c>
      <c r="C1138" s="77">
        <v>2360.3000000000002</v>
      </c>
      <c r="L1138" s="190">
        <v>44589</v>
      </c>
      <c r="M1138" s="191" t="s">
        <v>441</v>
      </c>
    </row>
    <row r="1139" spans="2:13" x14ac:dyDescent="0.2">
      <c r="B1139" s="189">
        <v>44589</v>
      </c>
      <c r="C1139" s="77">
        <v>2315.6</v>
      </c>
      <c r="L1139" s="190">
        <v>44588</v>
      </c>
      <c r="M1139" s="191" t="s">
        <v>1222</v>
      </c>
    </row>
    <row r="1140" spans="2:13" x14ac:dyDescent="0.2">
      <c r="B1140" s="189">
        <v>44588</v>
      </c>
      <c r="C1140" s="77">
        <v>2310.0500000000002</v>
      </c>
      <c r="L1140" s="190">
        <v>44586</v>
      </c>
      <c r="M1140" s="191" t="s">
        <v>1223</v>
      </c>
    </row>
    <row r="1141" spans="2:13" x14ac:dyDescent="0.2">
      <c r="B1141" s="189">
        <v>44586</v>
      </c>
      <c r="C1141" s="77">
        <v>2376.5</v>
      </c>
      <c r="L1141" s="190">
        <v>44585</v>
      </c>
      <c r="M1141" s="191" t="s">
        <v>832</v>
      </c>
    </row>
    <row r="1142" spans="2:13" x14ac:dyDescent="0.2">
      <c r="B1142" s="189">
        <v>44585</v>
      </c>
      <c r="C1142" s="77">
        <v>2403.0500000000002</v>
      </c>
      <c r="L1142" s="190">
        <v>44582</v>
      </c>
      <c r="M1142" s="191" t="s">
        <v>496</v>
      </c>
    </row>
    <row r="1143" spans="2:13" x14ac:dyDescent="0.2">
      <c r="B1143" s="189">
        <v>44582</v>
      </c>
      <c r="C1143" s="77">
        <v>2528.15</v>
      </c>
      <c r="L1143" s="190">
        <v>44581</v>
      </c>
      <c r="M1143" s="191" t="s">
        <v>730</v>
      </c>
    </row>
    <row r="1144" spans="2:13" x14ac:dyDescent="0.2">
      <c r="B1144" s="189">
        <v>44581</v>
      </c>
      <c r="C1144" s="77">
        <v>2564.3000000000002</v>
      </c>
      <c r="L1144" s="190">
        <v>44580</v>
      </c>
      <c r="M1144" s="191" t="s">
        <v>1134</v>
      </c>
    </row>
    <row r="1145" spans="2:13" x14ac:dyDescent="0.2">
      <c r="B1145" s="189">
        <v>44580</v>
      </c>
      <c r="C1145" s="77">
        <v>2588.9</v>
      </c>
      <c r="L1145" s="190">
        <v>44579</v>
      </c>
      <c r="M1145" s="191" t="s">
        <v>730</v>
      </c>
    </row>
    <row r="1146" spans="2:13" x14ac:dyDescent="0.2">
      <c r="B1146" s="189">
        <v>44579</v>
      </c>
      <c r="C1146" s="77">
        <v>2600.6</v>
      </c>
      <c r="L1146" s="190">
        <v>44578</v>
      </c>
      <c r="M1146" s="191" t="s">
        <v>433</v>
      </c>
    </row>
    <row r="1147" spans="2:13" x14ac:dyDescent="0.2">
      <c r="B1147" s="189">
        <v>44578</v>
      </c>
      <c r="C1147" s="77">
        <v>2597.5500000000002</v>
      </c>
      <c r="L1147" s="190">
        <v>44575</v>
      </c>
      <c r="M1147" s="191" t="s">
        <v>433</v>
      </c>
    </row>
    <row r="1148" spans="2:13" x14ac:dyDescent="0.2">
      <c r="B1148" s="189">
        <v>44575</v>
      </c>
      <c r="C1148" s="77">
        <v>2592.75</v>
      </c>
      <c r="L1148" s="190">
        <v>44574</v>
      </c>
      <c r="M1148" s="191" t="s">
        <v>522</v>
      </c>
    </row>
    <row r="1149" spans="2:13" x14ac:dyDescent="0.2">
      <c r="B1149" s="189">
        <v>44574</v>
      </c>
      <c r="C1149" s="77">
        <v>2619.25</v>
      </c>
      <c r="L1149" s="190">
        <v>44573</v>
      </c>
      <c r="M1149" s="191" t="s">
        <v>875</v>
      </c>
    </row>
    <row r="1150" spans="2:13" x14ac:dyDescent="0.2">
      <c r="B1150" s="189">
        <v>44573</v>
      </c>
      <c r="C1150" s="77">
        <v>2612.9499999999998</v>
      </c>
      <c r="L1150" s="190">
        <v>44572</v>
      </c>
      <c r="M1150" s="191" t="s">
        <v>471</v>
      </c>
    </row>
    <row r="1151" spans="2:13" x14ac:dyDescent="0.2">
      <c r="B1151" s="189">
        <v>44572</v>
      </c>
      <c r="C1151" s="77">
        <v>2653.35</v>
      </c>
      <c r="L1151" s="190">
        <v>44571</v>
      </c>
      <c r="M1151" s="191" t="s">
        <v>797</v>
      </c>
    </row>
    <row r="1152" spans="2:13" x14ac:dyDescent="0.2">
      <c r="B1152" s="189">
        <v>44571</v>
      </c>
      <c r="C1152" s="77">
        <v>2657.5</v>
      </c>
      <c r="L1152" s="190">
        <v>44568</v>
      </c>
      <c r="M1152" s="191" t="s">
        <v>1224</v>
      </c>
    </row>
    <row r="1153" spans="2:13" x14ac:dyDescent="0.2">
      <c r="B1153" s="189">
        <v>44568</v>
      </c>
      <c r="C1153" s="77">
        <v>2572.6999999999998</v>
      </c>
      <c r="L1153" s="190">
        <v>44567</v>
      </c>
      <c r="M1153" s="191" t="s">
        <v>490</v>
      </c>
    </row>
    <row r="1154" spans="2:13" x14ac:dyDescent="0.2">
      <c r="B1154" s="189">
        <v>44567</v>
      </c>
      <c r="C1154" s="77">
        <v>2595.9</v>
      </c>
      <c r="L1154" s="190">
        <v>44566</v>
      </c>
      <c r="M1154" s="191" t="s">
        <v>460</v>
      </c>
    </row>
    <row r="1155" spans="2:13" x14ac:dyDescent="0.2">
      <c r="B1155" s="189">
        <v>44566</v>
      </c>
      <c r="C1155" s="77">
        <v>2576.15</v>
      </c>
      <c r="L1155" s="190">
        <v>44565</v>
      </c>
      <c r="M1155" s="191" t="s">
        <v>518</v>
      </c>
    </row>
    <row r="1156" spans="2:13" x14ac:dyDescent="0.2">
      <c r="B1156" s="189">
        <v>44565</v>
      </c>
      <c r="C1156" s="77">
        <v>2583</v>
      </c>
      <c r="L1156" s="190">
        <v>44564</v>
      </c>
      <c r="M1156" s="191" t="s">
        <v>1225</v>
      </c>
    </row>
    <row r="1157" spans="2:13" x14ac:dyDescent="0.2">
      <c r="B1157" s="189">
        <v>44564</v>
      </c>
      <c r="C1157" s="77">
        <v>2523.85</v>
      </c>
      <c r="L1157" s="190">
        <v>44561</v>
      </c>
      <c r="M1157" s="191" t="s">
        <v>1226</v>
      </c>
    </row>
    <row r="1158" spans="2:13" x14ac:dyDescent="0.2">
      <c r="B1158" s="189">
        <v>44561</v>
      </c>
      <c r="C1158" s="77">
        <v>2522.4</v>
      </c>
      <c r="L1158" s="190">
        <v>44560</v>
      </c>
      <c r="M1158" s="191" t="s">
        <v>534</v>
      </c>
    </row>
    <row r="1159" spans="2:13" x14ac:dyDescent="0.2">
      <c r="B1159" s="189">
        <v>44560</v>
      </c>
      <c r="C1159" s="77">
        <v>2437.3000000000002</v>
      </c>
      <c r="L1159" s="190">
        <v>44559</v>
      </c>
      <c r="M1159" s="191" t="s">
        <v>1227</v>
      </c>
    </row>
    <row r="1160" spans="2:13" x14ac:dyDescent="0.2">
      <c r="B1160" s="189">
        <v>44559</v>
      </c>
      <c r="C1160" s="77">
        <v>2402.15</v>
      </c>
      <c r="L1160" s="190">
        <v>44558</v>
      </c>
      <c r="M1160" s="191" t="s">
        <v>1228</v>
      </c>
    </row>
    <row r="1161" spans="2:13" x14ac:dyDescent="0.2">
      <c r="B1161" s="189">
        <v>44558</v>
      </c>
      <c r="C1161" s="77">
        <v>2379.85</v>
      </c>
      <c r="L1161" s="190">
        <v>44557</v>
      </c>
      <c r="M1161" s="191" t="s">
        <v>1229</v>
      </c>
    </row>
    <row r="1162" spans="2:13" x14ac:dyDescent="0.2">
      <c r="B1162" s="189">
        <v>44557</v>
      </c>
      <c r="C1162" s="77">
        <v>2331.3000000000002</v>
      </c>
      <c r="L1162" s="190">
        <v>44554</v>
      </c>
      <c r="M1162" s="191" t="s">
        <v>1230</v>
      </c>
    </row>
    <row r="1163" spans="2:13" x14ac:dyDescent="0.2">
      <c r="B1163" s="189">
        <v>44554</v>
      </c>
      <c r="C1163" s="77">
        <v>2319.4499999999998</v>
      </c>
      <c r="L1163" s="190">
        <v>44553</v>
      </c>
      <c r="M1163" s="191" t="s">
        <v>1231</v>
      </c>
    </row>
    <row r="1164" spans="2:13" x14ac:dyDescent="0.2">
      <c r="B1164" s="189">
        <v>44553</v>
      </c>
      <c r="C1164" s="77">
        <v>2329.9</v>
      </c>
      <c r="L1164" s="190">
        <v>44552</v>
      </c>
      <c r="M1164" s="191" t="s">
        <v>1232</v>
      </c>
    </row>
    <row r="1165" spans="2:13" x14ac:dyDescent="0.2">
      <c r="B1165" s="189">
        <v>44552</v>
      </c>
      <c r="C1165" s="77">
        <v>2299.75</v>
      </c>
      <c r="L1165" s="190">
        <v>44551</v>
      </c>
      <c r="M1165" s="191" t="s">
        <v>1233</v>
      </c>
    </row>
    <row r="1166" spans="2:13" x14ac:dyDescent="0.2">
      <c r="B1166" s="189">
        <v>44551</v>
      </c>
      <c r="C1166" s="77">
        <v>2287.65</v>
      </c>
      <c r="L1166" s="190">
        <v>44550</v>
      </c>
      <c r="M1166" s="191" t="s">
        <v>563</v>
      </c>
    </row>
    <row r="1167" spans="2:13" x14ac:dyDescent="0.2">
      <c r="B1167" s="189">
        <v>44550</v>
      </c>
      <c r="C1167" s="77">
        <v>2239.35</v>
      </c>
      <c r="L1167" s="190">
        <v>44547</v>
      </c>
      <c r="M1167" s="191" t="s">
        <v>859</v>
      </c>
    </row>
    <row r="1168" spans="2:13" x14ac:dyDescent="0.2">
      <c r="B1168" s="189">
        <v>44547</v>
      </c>
      <c r="C1168" s="77">
        <v>2280.4</v>
      </c>
      <c r="L1168" s="190">
        <v>44546</v>
      </c>
      <c r="M1168" s="191" t="s">
        <v>1234</v>
      </c>
    </row>
    <row r="1169" spans="2:13" x14ac:dyDescent="0.2">
      <c r="B1169" s="189">
        <v>44546</v>
      </c>
      <c r="C1169" s="77">
        <v>2357.25</v>
      </c>
      <c r="L1169" s="190">
        <v>44545</v>
      </c>
      <c r="M1169" s="191" t="s">
        <v>1235</v>
      </c>
    </row>
    <row r="1170" spans="2:13" x14ac:dyDescent="0.2">
      <c r="B1170" s="189">
        <v>44545</v>
      </c>
      <c r="C1170" s="77">
        <v>2323.15</v>
      </c>
      <c r="L1170" s="190">
        <v>44544</v>
      </c>
      <c r="M1170" s="191" t="s">
        <v>1236</v>
      </c>
    </row>
    <row r="1171" spans="2:13" x14ac:dyDescent="0.2">
      <c r="B1171" s="189">
        <v>44544</v>
      </c>
      <c r="C1171" s="77">
        <v>2354.85</v>
      </c>
      <c r="L1171" s="190">
        <v>44543</v>
      </c>
      <c r="M1171" s="191" t="s">
        <v>1237</v>
      </c>
    </row>
    <row r="1172" spans="2:13" x14ac:dyDescent="0.2">
      <c r="B1172" s="189">
        <v>44543</v>
      </c>
      <c r="C1172" s="77">
        <v>2350.5</v>
      </c>
      <c r="L1172" s="190">
        <v>44540</v>
      </c>
      <c r="M1172" s="191" t="s">
        <v>1238</v>
      </c>
    </row>
    <row r="1173" spans="2:13" x14ac:dyDescent="0.2">
      <c r="B1173" s="189">
        <v>44540</v>
      </c>
      <c r="C1173" s="77">
        <v>2339.35</v>
      </c>
      <c r="L1173" s="190">
        <v>44539</v>
      </c>
      <c r="M1173" s="191" t="s">
        <v>649</v>
      </c>
    </row>
    <row r="1174" spans="2:13" x14ac:dyDescent="0.2">
      <c r="B1174" s="189">
        <v>44539</v>
      </c>
      <c r="C1174" s="77">
        <v>2373.15</v>
      </c>
      <c r="L1174" s="190">
        <v>44538</v>
      </c>
      <c r="M1174" s="191" t="s">
        <v>1239</v>
      </c>
    </row>
    <row r="1175" spans="2:13" x14ac:dyDescent="0.2">
      <c r="B1175" s="189">
        <v>44538</v>
      </c>
      <c r="C1175" s="77">
        <v>2405.5500000000002</v>
      </c>
      <c r="L1175" s="190">
        <v>44537</v>
      </c>
      <c r="M1175" s="191" t="s">
        <v>1240</v>
      </c>
    </row>
    <row r="1176" spans="2:13" x14ac:dyDescent="0.2">
      <c r="B1176" s="189">
        <v>44537</v>
      </c>
      <c r="C1176" s="77">
        <v>2380.5500000000002</v>
      </c>
      <c r="L1176" s="190">
        <v>44536</v>
      </c>
      <c r="M1176" s="191" t="s">
        <v>1241</v>
      </c>
    </row>
    <row r="1177" spans="2:13" x14ac:dyDescent="0.2">
      <c r="B1177" s="189">
        <v>44536</v>
      </c>
      <c r="C1177" s="77">
        <v>2325.3000000000002</v>
      </c>
      <c r="L1177" s="190">
        <v>44533</v>
      </c>
      <c r="M1177" s="191" t="s">
        <v>563</v>
      </c>
    </row>
    <row r="1178" spans="2:13" x14ac:dyDescent="0.2">
      <c r="B1178" s="189">
        <v>44533</v>
      </c>
      <c r="C1178" s="77">
        <v>2369.25</v>
      </c>
      <c r="L1178" s="190">
        <v>44532</v>
      </c>
      <c r="M1178" s="191" t="s">
        <v>514</v>
      </c>
    </row>
    <row r="1179" spans="2:13" x14ac:dyDescent="0.2">
      <c r="B1179" s="189">
        <v>44532</v>
      </c>
      <c r="C1179" s="77">
        <v>2386.5</v>
      </c>
      <c r="L1179" s="190">
        <v>44531</v>
      </c>
      <c r="M1179" s="191" t="s">
        <v>654</v>
      </c>
    </row>
    <row r="1180" spans="2:13" x14ac:dyDescent="0.2">
      <c r="B1180" s="189">
        <v>44531</v>
      </c>
      <c r="C1180" s="77">
        <v>2360.1999999999998</v>
      </c>
      <c r="L1180" s="190">
        <v>44530</v>
      </c>
      <c r="M1180" s="191" t="s">
        <v>1242</v>
      </c>
    </row>
    <row r="1181" spans="2:13" x14ac:dyDescent="0.2">
      <c r="B1181" s="189">
        <v>44530</v>
      </c>
      <c r="C1181" s="77">
        <v>2375.5</v>
      </c>
      <c r="L1181" s="190">
        <v>44529</v>
      </c>
      <c r="M1181" s="191" t="s">
        <v>548</v>
      </c>
    </row>
    <row r="1182" spans="2:13" x14ac:dyDescent="0.2">
      <c r="B1182" s="189">
        <v>44529</v>
      </c>
      <c r="C1182" s="77">
        <v>2324.1999999999998</v>
      </c>
      <c r="L1182" s="190">
        <v>44526</v>
      </c>
      <c r="M1182" s="191" t="s">
        <v>875</v>
      </c>
    </row>
    <row r="1183" spans="2:13" x14ac:dyDescent="0.2">
      <c r="B1183" s="189">
        <v>44526</v>
      </c>
      <c r="C1183" s="77">
        <v>2292.3000000000002</v>
      </c>
      <c r="L1183" s="190">
        <v>44525</v>
      </c>
      <c r="M1183" s="191" t="s">
        <v>1243</v>
      </c>
    </row>
    <row r="1184" spans="2:13" x14ac:dyDescent="0.2">
      <c r="B1184" s="189">
        <v>44525</v>
      </c>
      <c r="C1184" s="77">
        <v>2397.8000000000002</v>
      </c>
      <c r="L1184" s="190">
        <v>44524</v>
      </c>
      <c r="M1184" s="191" t="s">
        <v>1244</v>
      </c>
    </row>
    <row r="1185" spans="2:13" x14ac:dyDescent="0.2">
      <c r="B1185" s="189">
        <v>44524</v>
      </c>
      <c r="C1185" s="77">
        <v>2375.85</v>
      </c>
      <c r="L1185" s="190">
        <v>44523</v>
      </c>
      <c r="M1185" s="191" t="s">
        <v>649</v>
      </c>
    </row>
    <row r="1186" spans="2:13" x14ac:dyDescent="0.2">
      <c r="B1186" s="189">
        <v>44523</v>
      </c>
      <c r="C1186" s="77">
        <v>2387.6999999999998</v>
      </c>
      <c r="L1186" s="190">
        <v>44522</v>
      </c>
      <c r="M1186" s="191" t="s">
        <v>569</v>
      </c>
    </row>
    <row r="1187" spans="2:13" x14ac:dyDescent="0.2">
      <c r="B1187" s="189">
        <v>44522</v>
      </c>
      <c r="C1187" s="77">
        <v>2391.3000000000002</v>
      </c>
      <c r="L1187" s="190">
        <v>44518</v>
      </c>
      <c r="M1187" s="191" t="s">
        <v>1245</v>
      </c>
    </row>
    <row r="1188" spans="2:13" x14ac:dyDescent="0.2">
      <c r="B1188" s="189">
        <v>44518</v>
      </c>
      <c r="C1188" s="77">
        <v>2478.1999999999998</v>
      </c>
      <c r="L1188" s="190">
        <v>44517</v>
      </c>
      <c r="M1188" s="191" t="s">
        <v>1246</v>
      </c>
    </row>
    <row r="1189" spans="2:13" x14ac:dyDescent="0.2">
      <c r="B1189" s="189">
        <v>44517</v>
      </c>
      <c r="C1189" s="77">
        <v>2499.35</v>
      </c>
      <c r="L1189" s="190">
        <v>44516</v>
      </c>
      <c r="M1189" s="191" t="s">
        <v>490</v>
      </c>
    </row>
    <row r="1190" spans="2:13" x14ac:dyDescent="0.2">
      <c r="B1190" s="189">
        <v>44516</v>
      </c>
      <c r="C1190" s="77">
        <v>2531.75</v>
      </c>
      <c r="L1190" s="190">
        <v>44515</v>
      </c>
      <c r="M1190" s="191" t="s">
        <v>1247</v>
      </c>
    </row>
    <row r="1191" spans="2:13" x14ac:dyDescent="0.2">
      <c r="B1191" s="189">
        <v>44515</v>
      </c>
      <c r="C1191" s="77">
        <v>2539.4</v>
      </c>
      <c r="L1191" s="190">
        <v>44512</v>
      </c>
      <c r="M1191" s="191" t="s">
        <v>733</v>
      </c>
    </row>
    <row r="1192" spans="2:13" x14ac:dyDescent="0.2">
      <c r="B1192" s="189">
        <v>44512</v>
      </c>
      <c r="C1192" s="77">
        <v>2539.5</v>
      </c>
      <c r="L1192" s="190">
        <v>44511</v>
      </c>
      <c r="M1192" s="191" t="s">
        <v>621</v>
      </c>
    </row>
    <row r="1193" spans="2:13" x14ac:dyDescent="0.2">
      <c r="B1193" s="189">
        <v>44511</v>
      </c>
      <c r="C1193" s="77">
        <v>2528.1</v>
      </c>
      <c r="L1193" s="190">
        <v>44510</v>
      </c>
      <c r="M1193" s="191" t="s">
        <v>1248</v>
      </c>
    </row>
    <row r="1194" spans="2:13" x14ac:dyDescent="0.2">
      <c r="B1194" s="189">
        <v>44510</v>
      </c>
      <c r="C1194" s="77">
        <v>2484.6</v>
      </c>
      <c r="L1194" s="190">
        <v>44509</v>
      </c>
      <c r="M1194" s="191" t="s">
        <v>419</v>
      </c>
    </row>
    <row r="1195" spans="2:13" x14ac:dyDescent="0.2">
      <c r="B1195" s="189">
        <v>44509</v>
      </c>
      <c r="C1195" s="77">
        <v>2512.1</v>
      </c>
      <c r="L1195" s="190">
        <v>44508</v>
      </c>
      <c r="M1195" s="191" t="s">
        <v>1249</v>
      </c>
    </row>
    <row r="1196" spans="2:13" x14ac:dyDescent="0.2">
      <c r="B1196" s="189">
        <v>44508</v>
      </c>
      <c r="C1196" s="77">
        <v>2536.75</v>
      </c>
      <c r="L1196" s="190">
        <v>44504</v>
      </c>
      <c r="M1196" s="191" t="s">
        <v>1250</v>
      </c>
    </row>
    <row r="1197" spans="2:13" x14ac:dyDescent="0.2">
      <c r="B1197" s="189">
        <v>44504</v>
      </c>
      <c r="C1197" s="77">
        <v>2431.75</v>
      </c>
      <c r="L1197" s="190">
        <v>44503</v>
      </c>
      <c r="M1197" s="191" t="s">
        <v>1207</v>
      </c>
    </row>
    <row r="1198" spans="2:13" x14ac:dyDescent="0.2">
      <c r="B1198" s="189">
        <v>44503</v>
      </c>
      <c r="C1198" s="77">
        <v>2417.9499999999998</v>
      </c>
      <c r="L1198" s="190">
        <v>44502</v>
      </c>
      <c r="M1198" s="191" t="s">
        <v>1207</v>
      </c>
    </row>
    <row r="1199" spans="2:13" x14ac:dyDescent="0.2">
      <c r="B1199" s="189">
        <v>44502</v>
      </c>
      <c r="C1199" s="77">
        <v>2453.9499999999998</v>
      </c>
      <c r="L1199" s="190">
        <v>44501</v>
      </c>
      <c r="M1199" s="191" t="s">
        <v>434</v>
      </c>
    </row>
    <row r="1200" spans="2:13" x14ac:dyDescent="0.2">
      <c r="B1200" s="189">
        <v>44501</v>
      </c>
      <c r="C1200" s="77">
        <v>2406.3000000000002</v>
      </c>
      <c r="L1200" s="190">
        <v>44498</v>
      </c>
      <c r="M1200" s="191" t="s">
        <v>622</v>
      </c>
    </row>
    <row r="1201" spans="2:13" x14ac:dyDescent="0.2">
      <c r="B1201" s="189">
        <v>44498</v>
      </c>
      <c r="C1201" s="77">
        <v>2383.5500000000002</v>
      </c>
      <c r="L1201" s="190">
        <v>44497</v>
      </c>
      <c r="M1201" s="191" t="s">
        <v>1251</v>
      </c>
    </row>
    <row r="1202" spans="2:13" x14ac:dyDescent="0.2">
      <c r="B1202" s="189">
        <v>44497</v>
      </c>
      <c r="C1202" s="77">
        <v>2375.15</v>
      </c>
      <c r="L1202" s="190">
        <v>44496</v>
      </c>
      <c r="M1202" s="191" t="s">
        <v>862</v>
      </c>
    </row>
    <row r="1203" spans="2:13" x14ac:dyDescent="0.2">
      <c r="B1203" s="189">
        <v>44496</v>
      </c>
      <c r="C1203" s="77">
        <v>2460.1</v>
      </c>
      <c r="L1203" s="190">
        <v>44495</v>
      </c>
      <c r="M1203" s="191" t="s">
        <v>925</v>
      </c>
    </row>
    <row r="1204" spans="2:13" x14ac:dyDescent="0.2">
      <c r="B1204" s="189">
        <v>44495</v>
      </c>
      <c r="C1204" s="77">
        <v>2454.75</v>
      </c>
      <c r="L1204" s="190">
        <v>44494</v>
      </c>
      <c r="M1204" s="191" t="s">
        <v>622</v>
      </c>
    </row>
    <row r="1205" spans="2:13" x14ac:dyDescent="0.2">
      <c r="B1205" s="189">
        <v>44494</v>
      </c>
      <c r="C1205" s="77">
        <v>2379.15</v>
      </c>
      <c r="L1205" s="190">
        <v>44491</v>
      </c>
      <c r="M1205" s="191" t="s">
        <v>1252</v>
      </c>
    </row>
    <row r="1206" spans="2:13" x14ac:dyDescent="0.2">
      <c r="B1206" s="189">
        <v>44491</v>
      </c>
      <c r="C1206" s="77">
        <v>2412</v>
      </c>
      <c r="L1206" s="190">
        <v>44490</v>
      </c>
      <c r="M1206" s="191" t="s">
        <v>1253</v>
      </c>
    </row>
    <row r="1207" spans="2:13" x14ac:dyDescent="0.2">
      <c r="B1207" s="189">
        <v>44490</v>
      </c>
      <c r="C1207" s="77">
        <v>2395.6999999999998</v>
      </c>
      <c r="L1207" s="190">
        <v>44489</v>
      </c>
      <c r="M1207" s="191" t="s">
        <v>1254</v>
      </c>
    </row>
    <row r="1208" spans="2:13" x14ac:dyDescent="0.2">
      <c r="B1208" s="189">
        <v>44489</v>
      </c>
      <c r="C1208" s="77">
        <v>2411.4</v>
      </c>
      <c r="L1208" s="190">
        <v>44488</v>
      </c>
      <c r="M1208" s="191" t="s">
        <v>1255</v>
      </c>
    </row>
    <row r="1209" spans="2:13" x14ac:dyDescent="0.2">
      <c r="B1209" s="189">
        <v>44488</v>
      </c>
      <c r="C1209" s="77">
        <v>2484.9</v>
      </c>
      <c r="L1209" s="190">
        <v>44487</v>
      </c>
      <c r="M1209" s="191" t="s">
        <v>925</v>
      </c>
    </row>
    <row r="1210" spans="2:13" x14ac:dyDescent="0.2">
      <c r="B1210" s="189">
        <v>44487</v>
      </c>
      <c r="C1210" s="77">
        <v>2588.8000000000002</v>
      </c>
      <c r="L1210" s="190">
        <v>44483</v>
      </c>
      <c r="M1210" s="191" t="s">
        <v>1207</v>
      </c>
    </row>
    <row r="1211" spans="2:13" x14ac:dyDescent="0.2">
      <c r="B1211" s="189">
        <v>44483</v>
      </c>
      <c r="C1211" s="77">
        <v>2564.0500000000002</v>
      </c>
      <c r="L1211" s="190">
        <v>44482</v>
      </c>
      <c r="M1211" s="191" t="s">
        <v>1256</v>
      </c>
    </row>
    <row r="1212" spans="2:13" x14ac:dyDescent="0.2">
      <c r="B1212" s="189">
        <v>44482</v>
      </c>
      <c r="C1212" s="77">
        <v>2537.1999999999998</v>
      </c>
      <c r="L1212" s="190">
        <v>44481</v>
      </c>
      <c r="M1212" s="191" t="s">
        <v>1257</v>
      </c>
    </row>
    <row r="1213" spans="2:13" x14ac:dyDescent="0.2">
      <c r="B1213" s="189">
        <v>44481</v>
      </c>
      <c r="C1213" s="77">
        <v>2492.6</v>
      </c>
      <c r="L1213" s="190">
        <v>44480</v>
      </c>
      <c r="M1213" s="191" t="s">
        <v>563</v>
      </c>
    </row>
    <row r="1214" spans="2:13" x14ac:dyDescent="0.2">
      <c r="B1214" s="189">
        <v>44480</v>
      </c>
      <c r="C1214" s="77">
        <v>2362.4</v>
      </c>
      <c r="L1214" s="190">
        <v>44477</v>
      </c>
      <c r="M1214" s="191" t="s">
        <v>1258</v>
      </c>
    </row>
    <row r="1215" spans="2:13" x14ac:dyDescent="0.2">
      <c r="B1215" s="189">
        <v>44477</v>
      </c>
      <c r="C1215" s="77">
        <v>2358.1999999999998</v>
      </c>
      <c r="L1215" s="190">
        <v>44476</v>
      </c>
      <c r="M1215" s="191" t="s">
        <v>1259</v>
      </c>
    </row>
    <row r="1216" spans="2:13" x14ac:dyDescent="0.2">
      <c r="B1216" s="189">
        <v>44476</v>
      </c>
      <c r="C1216" s="77">
        <v>2375.35</v>
      </c>
      <c r="L1216" s="190">
        <v>44475</v>
      </c>
      <c r="M1216" s="191" t="s">
        <v>1260</v>
      </c>
    </row>
    <row r="1217" spans="2:13" x14ac:dyDescent="0.2">
      <c r="B1217" s="189">
        <v>44475</v>
      </c>
      <c r="C1217" s="77">
        <v>2147.65</v>
      </c>
      <c r="L1217" s="190">
        <v>44474</v>
      </c>
      <c r="M1217" s="191" t="s">
        <v>1143</v>
      </c>
    </row>
    <row r="1218" spans="2:13" x14ac:dyDescent="0.2">
      <c r="B1218" s="189">
        <v>44474</v>
      </c>
      <c r="C1218" s="77">
        <v>2192.65</v>
      </c>
      <c r="L1218" s="190">
        <v>44473</v>
      </c>
      <c r="M1218" s="191" t="s">
        <v>1261</v>
      </c>
    </row>
    <row r="1219" spans="2:13" x14ac:dyDescent="0.2">
      <c r="B1219" s="189">
        <v>44473</v>
      </c>
      <c r="C1219" s="77">
        <v>2155.3000000000002</v>
      </c>
      <c r="L1219" s="190">
        <v>44470</v>
      </c>
      <c r="M1219" s="191" t="s">
        <v>1262</v>
      </c>
    </row>
    <row r="1220" spans="2:13" x14ac:dyDescent="0.2">
      <c r="B1220" s="189">
        <v>44470</v>
      </c>
      <c r="C1220" s="77">
        <v>2163.75</v>
      </c>
      <c r="L1220" s="190">
        <v>44469</v>
      </c>
      <c r="M1220" s="191" t="s">
        <v>986</v>
      </c>
    </row>
    <row r="1221" spans="2:13" x14ac:dyDescent="0.2">
      <c r="B1221" s="189">
        <v>44469</v>
      </c>
      <c r="C1221" s="77">
        <v>2161.85</v>
      </c>
      <c r="L1221" s="190">
        <v>44468</v>
      </c>
      <c r="M1221" s="191" t="s">
        <v>1263</v>
      </c>
    </row>
    <row r="1222" spans="2:13" x14ac:dyDescent="0.2">
      <c r="B1222" s="189">
        <v>44468</v>
      </c>
      <c r="C1222" s="77">
        <v>2147.5</v>
      </c>
      <c r="L1222" s="190">
        <v>44467</v>
      </c>
      <c r="M1222" s="191" t="s">
        <v>1264</v>
      </c>
    </row>
    <row r="1223" spans="2:13" x14ac:dyDescent="0.2">
      <c r="B1223" s="189">
        <v>44467</v>
      </c>
      <c r="C1223" s="77">
        <v>2129.3000000000002</v>
      </c>
      <c r="L1223" s="190">
        <v>44466</v>
      </c>
      <c r="M1223" s="191" t="s">
        <v>1265</v>
      </c>
    </row>
    <row r="1224" spans="2:13" x14ac:dyDescent="0.2">
      <c r="B1224" s="189">
        <v>44466</v>
      </c>
      <c r="C1224" s="77">
        <v>2090.25</v>
      </c>
      <c r="L1224" s="190">
        <v>44463</v>
      </c>
      <c r="M1224" s="191" t="s">
        <v>1266</v>
      </c>
    </row>
    <row r="1225" spans="2:13" x14ac:dyDescent="0.2">
      <c r="B1225" s="189">
        <v>44463</v>
      </c>
      <c r="C1225" s="77">
        <v>2092.9</v>
      </c>
      <c r="L1225" s="190">
        <v>44462</v>
      </c>
      <c r="M1225" s="191" t="s">
        <v>1267</v>
      </c>
    </row>
    <row r="1226" spans="2:13" x14ac:dyDescent="0.2">
      <c r="B1226" s="189">
        <v>44462</v>
      </c>
      <c r="C1226" s="77">
        <v>2105.0500000000002</v>
      </c>
      <c r="L1226" s="190">
        <v>44461</v>
      </c>
      <c r="M1226" s="191" t="s">
        <v>563</v>
      </c>
    </row>
    <row r="1227" spans="2:13" x14ac:dyDescent="0.2">
      <c r="B1227" s="189">
        <v>44461</v>
      </c>
      <c r="C1227" s="77">
        <v>2081.0500000000002</v>
      </c>
      <c r="L1227" s="190">
        <v>44460</v>
      </c>
      <c r="M1227" s="191" t="s">
        <v>1268</v>
      </c>
    </row>
    <row r="1228" spans="2:13" x14ac:dyDescent="0.2">
      <c r="B1228" s="189">
        <v>44460</v>
      </c>
      <c r="C1228" s="77">
        <v>2085.85</v>
      </c>
      <c r="L1228" s="190">
        <v>44459</v>
      </c>
      <c r="M1228" s="191" t="s">
        <v>1269</v>
      </c>
    </row>
    <row r="1229" spans="2:13" x14ac:dyDescent="0.2">
      <c r="B1229" s="189">
        <v>44459</v>
      </c>
      <c r="C1229" s="77">
        <v>2077.35</v>
      </c>
      <c r="L1229" s="190">
        <v>44456</v>
      </c>
      <c r="M1229" s="191" t="s">
        <v>621</v>
      </c>
    </row>
    <row r="1230" spans="2:13" x14ac:dyDescent="0.2">
      <c r="B1230" s="189">
        <v>44456</v>
      </c>
      <c r="C1230" s="77">
        <v>2095.6</v>
      </c>
      <c r="L1230" s="190">
        <v>44455</v>
      </c>
      <c r="M1230" s="191" t="s">
        <v>1270</v>
      </c>
    </row>
    <row r="1231" spans="2:13" x14ac:dyDescent="0.2">
      <c r="B1231" s="189">
        <v>44455</v>
      </c>
      <c r="C1231" s="77">
        <v>2108.6999999999998</v>
      </c>
      <c r="L1231" s="190">
        <v>44454</v>
      </c>
      <c r="M1231" s="191" t="s">
        <v>1271</v>
      </c>
    </row>
    <row r="1232" spans="2:13" x14ac:dyDescent="0.2">
      <c r="B1232" s="189">
        <v>44454</v>
      </c>
      <c r="C1232" s="77">
        <v>2119.85</v>
      </c>
      <c r="L1232" s="190">
        <v>44453</v>
      </c>
      <c r="M1232" s="191" t="s">
        <v>1272</v>
      </c>
    </row>
    <row r="1233" spans="2:13" x14ac:dyDescent="0.2">
      <c r="B1233" s="189">
        <v>44453</v>
      </c>
      <c r="C1233" s="77">
        <v>2055.6999999999998</v>
      </c>
      <c r="L1233" s="190">
        <v>44452</v>
      </c>
      <c r="M1233" s="191" t="s">
        <v>1273</v>
      </c>
    </row>
    <row r="1234" spans="2:13" x14ac:dyDescent="0.2">
      <c r="B1234" s="189">
        <v>44452</v>
      </c>
      <c r="C1234" s="77">
        <v>2030.65</v>
      </c>
      <c r="L1234" s="190">
        <v>44448</v>
      </c>
      <c r="M1234" s="191" t="s">
        <v>1274</v>
      </c>
    </row>
    <row r="1235" spans="2:13" x14ac:dyDescent="0.2">
      <c r="B1235" s="189">
        <v>44448</v>
      </c>
      <c r="C1235" s="77">
        <v>2034.3</v>
      </c>
      <c r="L1235" s="190">
        <v>44447</v>
      </c>
      <c r="M1235" s="191" t="s">
        <v>1275</v>
      </c>
    </row>
    <row r="1236" spans="2:13" x14ac:dyDescent="0.2">
      <c r="B1236" s="189">
        <v>44447</v>
      </c>
      <c r="C1236" s="77">
        <v>2055.9499999999998</v>
      </c>
      <c r="L1236" s="190">
        <v>44446</v>
      </c>
      <c r="M1236" s="191" t="s">
        <v>1276</v>
      </c>
    </row>
    <row r="1237" spans="2:13" x14ac:dyDescent="0.2">
      <c r="B1237" s="189">
        <v>44446</v>
      </c>
      <c r="C1237" s="77">
        <v>2033.9</v>
      </c>
      <c r="L1237" s="190">
        <v>44445</v>
      </c>
      <c r="M1237" s="191" t="s">
        <v>1277</v>
      </c>
    </row>
    <row r="1238" spans="2:13" x14ac:dyDescent="0.2">
      <c r="B1238" s="189">
        <v>44445</v>
      </c>
      <c r="C1238" s="77">
        <v>2020.65</v>
      </c>
      <c r="L1238" s="190">
        <v>44442</v>
      </c>
      <c r="M1238" s="191" t="s">
        <v>1207</v>
      </c>
    </row>
    <row r="1239" spans="2:13" x14ac:dyDescent="0.2">
      <c r="B1239" s="189">
        <v>44442</v>
      </c>
      <c r="C1239" s="77">
        <v>2019.3</v>
      </c>
      <c r="L1239" s="190">
        <v>44441</v>
      </c>
      <c r="M1239" s="191" t="s">
        <v>433</v>
      </c>
    </row>
    <row r="1240" spans="2:13" x14ac:dyDescent="0.2">
      <c r="B1240" s="189">
        <v>44441</v>
      </c>
      <c r="C1240" s="77">
        <v>1967.1</v>
      </c>
      <c r="L1240" s="190">
        <v>44440</v>
      </c>
      <c r="M1240" s="191" t="s">
        <v>649</v>
      </c>
    </row>
    <row r="1241" spans="2:13" x14ac:dyDescent="0.2">
      <c r="B1241" s="189">
        <v>44440</v>
      </c>
      <c r="C1241" s="77">
        <v>1939.4</v>
      </c>
      <c r="L1241" s="190">
        <v>44439</v>
      </c>
      <c r="M1241" s="191" t="s">
        <v>1005</v>
      </c>
    </row>
    <row r="1242" spans="2:13" x14ac:dyDescent="0.2">
      <c r="B1242" s="189">
        <v>44439</v>
      </c>
      <c r="C1242" s="77">
        <v>1921.6</v>
      </c>
      <c r="L1242" s="190">
        <v>44438</v>
      </c>
      <c r="M1242" s="191" t="s">
        <v>733</v>
      </c>
    </row>
    <row r="1243" spans="2:13" x14ac:dyDescent="0.2">
      <c r="B1243" s="189">
        <v>44438</v>
      </c>
      <c r="C1243" s="77">
        <v>1878.45</v>
      </c>
      <c r="L1243" s="190">
        <v>44435</v>
      </c>
      <c r="M1243" s="191" t="s">
        <v>522</v>
      </c>
    </row>
    <row r="1244" spans="2:13" x14ac:dyDescent="0.2">
      <c r="B1244" s="189">
        <v>44435</v>
      </c>
      <c r="C1244" s="77">
        <v>1822.55</v>
      </c>
    </row>
  </sheetData>
  <sheetProtection sheet="1" objects="1" scenarios="1"/>
  <pageMargins left="0.7" right="0.7" top="0.75" bottom="0.75" header="0.3" footer="0.3"/>
  <pageSetup paperSize="9"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26</vt:i4>
      </vt:variant>
    </vt:vector>
  </HeadingPairs>
  <TitlesOfParts>
    <vt:vector size="26" baseType="lpstr">
      <vt:lpstr>Teaser</vt:lpstr>
      <vt:lpstr>Financials&gt;</vt:lpstr>
      <vt:lpstr>HistoricalFS</vt:lpstr>
      <vt:lpstr>Ratio Analysis</vt:lpstr>
      <vt:lpstr>Common Size Statement</vt:lpstr>
      <vt:lpstr>Dupont Analysis</vt:lpstr>
      <vt:lpstr>Segment Analysis</vt:lpstr>
      <vt:lpstr>Valuation&gt;</vt:lpstr>
      <vt:lpstr>WACC</vt:lpstr>
      <vt:lpstr>Intrinsic Growth</vt:lpstr>
      <vt:lpstr>P E Valuation</vt:lpstr>
      <vt:lpstr>Scenario Analysis</vt:lpstr>
      <vt:lpstr>DCF - Exit Multiple</vt:lpstr>
      <vt:lpstr>DCF - Perpetual Growth</vt:lpstr>
      <vt:lpstr>Relative Valuation&gt;</vt:lpstr>
      <vt:lpstr>Comps_Val</vt:lpstr>
      <vt:lpstr>Data&gt;</vt:lpstr>
      <vt:lpstr>Data Sheet</vt:lpstr>
      <vt:lpstr>cash flow data</vt:lpstr>
      <vt:lpstr>Segment Data</vt:lpstr>
      <vt:lpstr>Beta - regression</vt:lpstr>
      <vt:lpstr>Beta - comps</vt:lpstr>
      <vt:lpstr>Market Return</vt:lpstr>
      <vt:lpstr>Raw FS</vt:lpstr>
      <vt:lpstr>Comps_Data</vt:lpstr>
      <vt:lpstr>Hist Share Price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Dhwani</dc:creator>
  <cp:lastModifiedBy>Dhwani</cp:lastModifiedBy>
  <dcterms:created xsi:type="dcterms:W3CDTF">2026-08-06T13:33:03Z</dcterms:created>
  <dcterms:modified xsi:type="dcterms:W3CDTF">2026-09-02T10:27:56Z</dcterms:modified>
</cp:coreProperties>
</file>